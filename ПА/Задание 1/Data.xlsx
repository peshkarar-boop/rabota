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product" sheetId="1" r:id="rId1"/>
    <sheet name="orders" sheetId="2" r:id="rId2"/>
    <sheet name="sizes" sheetId="3" r:id="rId3"/>
    <sheet name="stock_items" sheetId="4" r:id="rId4"/>
    <sheet name="user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2" l="1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69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35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70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C56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7" i="1"/>
  <c r="C58" i="1"/>
  <c r="C59" i="1"/>
  <c r="C60" i="1"/>
  <c r="C61" i="1"/>
  <c r="C62" i="1"/>
  <c r="C63" i="1"/>
  <c r="C64" i="1"/>
  <c r="C65" i="1"/>
  <c r="C66" i="1"/>
  <c r="C67" i="1"/>
  <c r="C37" i="1"/>
</calcChain>
</file>

<file path=xl/sharedStrings.xml><?xml version="1.0" encoding="utf-8"?>
<sst xmlns="http://schemas.openxmlformats.org/spreadsheetml/2006/main" count="682" uniqueCount="267">
  <si>
    <t>Изображение</t>
  </si>
  <si>
    <t>Наименование товара</t>
  </si>
  <si>
    <t>Производство</t>
  </si>
  <si>
    <t>Описание</t>
  </si>
  <si>
    <t>Состав</t>
  </si>
  <si>
    <t>Цена</t>
  </si>
  <si>
    <t>IMG_KS_195217.png</t>
  </si>
  <si>
    <t>Кроссовки детские «Звёздочка» экокожа</t>
  </si>
  <si>
    <t>Кроссовки детские «Звёздочка» экокожа. Производитель: ООО «Малыш-Спорт», г. Смоленск</t>
  </si>
  <si>
    <t>Верх — экокожа (полиуретан на хлопковой основе), подкладка — хлопок 100%, подошва — ПВХ</t>
  </si>
  <si>
    <t>IMG_KS_195213.png</t>
  </si>
  <si>
    <t>Кроссовки детские «Гонщик» экокожа</t>
  </si>
  <si>
    <t>Кроссовки детские «Гонщик» экокожа. Производитель: Фабрика «Топ-Топ», г. Киров</t>
  </si>
  <si>
    <t>Верх — экокожа (микрофибра), подкладка — текстиль сетчатый (полиэстер), подошва — термопластичная резина (ТЭП)</t>
  </si>
  <si>
    <t>IMG_KS_195222.png</t>
  </si>
  <si>
    <t>Кроссовки детские «Радуга» экокожа перфорированная</t>
  </si>
  <si>
    <t>Кроссовки детские «Радуга» экокожа перфорированная. Производитель: ИП Смирнова Л.В. (бренд «Лапушка»), г. Вологда</t>
  </si>
  <si>
    <t>Верх — экокожа перфорированная, вставки — нейлон, стелька — ортопедическая с латексной подушкой, подошва — ЭВА</t>
  </si>
  <si>
    <t>IMG_KB_185501.png</t>
  </si>
  <si>
    <t>Сапожки детские «Снежинка» зимние на меху</t>
  </si>
  <si>
    <t>Сапожки детские «Снежинка» зимние на меху. Производитель: ООО «Тёплые ножки», г. Новосибирск</t>
  </si>
  <si>
    <t>Верх — экокожа морозостойкая, утеплитель — искусственный мех (акрил 70%, полиэстер 30%), подкладка — флис, подошва — термоэластопласт (ТЭП)</t>
  </si>
  <si>
    <t>IMG_KB_164816.png</t>
  </si>
  <si>
    <t>Сапожки детские «Медвежонок» демисезонные непромокаемые</t>
  </si>
  <si>
    <t>Сапожки детские «Медвежонок» демисезонные непромокаемые. Производитель: Компания «Северята», г. Архангельск</t>
  </si>
  <si>
    <t>Верх — плащёвая ткань с водоотталкивающей пропиткой (полиэстер 100%), отделка — экокожа, подкладка — микрофибра, мембрана — AirTex, подошва — резина</t>
  </si>
  <si>
    <t>IMG_KB_164811.png</t>
  </si>
  <si>
    <t>Сапожки детские «Принцесса» кожаные</t>
  </si>
  <si>
    <t>Сапожки детские «Принцесса» кожаные. Производитель: Мастерская «Весна», г. Тула</t>
  </si>
  <si>
    <t>Верх — натуральная кожа (КРС), подкладка — шерсть натуральная (70%), байка (30%), стелька — войлочная, подошва — полиуретан</t>
  </si>
  <si>
    <t>IMG_KSd_195207.png</t>
  </si>
  <si>
    <t>Сандалии детские «Пчёлка» ортопедические летние</t>
  </si>
  <si>
    <t>Сандалии детские «Пчёлка» ортопедические летние. Производитель: ООО «Здоровый шаг», г. Воронеж</t>
  </si>
  <si>
    <t>Верх — нубук натуральный, подкладка — кожа растительного дубления, стелька — анатомическая с супинатором (латекс + пробка), подошва — каучук</t>
  </si>
  <si>
    <t>IMG_KSd_185508.png</t>
  </si>
  <si>
    <t>Сандалии детские «Морячок» текстильные с фиксатором</t>
  </si>
  <si>
    <t>Сандалии детские «Морячок» текстильные с фиксатором. Производитель: ИП Кузнецов А.Д. (бренд «Карапуз»), г. Краснодар</t>
  </si>
  <si>
    <t>Верх — джинсовая ткань (хлопок 100%), окантовка — искусственная кожа, подкладка — хлопок, подошва — ЭВА лёгкая</t>
  </si>
  <si>
    <t>IMG_KSho_185512.png</t>
  </si>
  <si>
    <t>Туфли детские «Бантик» лаковые праздничные</t>
  </si>
  <si>
    <t>Туфли детские «Бантик» лаковые праздничные. Производитель: Дом обуви «Маленький франт», г. Москва</t>
  </si>
  <si>
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</si>
  <si>
    <t>IMG_WB_170905.png</t>
  </si>
  <si>
    <t>Сапоги зимние натуральная кожа</t>
  </si>
  <si>
    <t xml:space="preserve">Сапоги женские зимние, нескользящая, устойчивая подошва, натуральный мех. Производитель: Дом обуви «Барбари», г. Новороссийск </t>
  </si>
  <si>
    <t>Верх — натуральная кожа, подкладка — евромех, натуральный мех, текстильный утеплитель, подошва — резина</t>
  </si>
  <si>
    <t>IMG_WB_170859.png</t>
  </si>
  <si>
    <t>Сапоги осенние натуральная кожа</t>
  </si>
  <si>
    <t xml:space="preserve">Сапоги женские демисезонные из высококачественной натуральной кожи. Производитель: Дом обуви «Барбари», г. Новороссийск </t>
  </si>
  <si>
    <t>Верх — натуральная кожа, подкладка — текстильный утеплитель, стелька — текстиль, подошва — ТПР</t>
  </si>
  <si>
    <t>IMG_WB_170906.png</t>
  </si>
  <si>
    <t>Сапоги трубы демисезонные замшевые</t>
  </si>
  <si>
    <t>Сапоги женские демисезонные замшевые. Производитель: ОАО «Твой комфорт», г. Ярославль</t>
  </si>
  <si>
    <t>Верх — натуральная замша, утепленные, тракторная подошва, стелька — байка, подошва — резина</t>
  </si>
  <si>
    <t>IMG_WSd_174332.png</t>
  </si>
  <si>
    <t>Босоножки «Песчаный берег» коричневые</t>
  </si>
  <si>
    <t>Коричневая кожаная модель с открытым носком, боковой пряжкой и закрытым каблуком. Производитель: ИП «Стиль и комфорт», г. Санкт-Петербург</t>
  </si>
  <si>
    <t>Верх — 100% козья кожа, подкладка — 100% кожа; подошва: 100% кожа</t>
  </si>
  <si>
    <t>IMG_WSd_185156.png</t>
  </si>
  <si>
    <t>Женские босоножки «Черный кофе» со скульптурным каблуком</t>
  </si>
  <si>
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</si>
  <si>
    <t>Верх — кожа собственного производств, подкладка — кожа; подошва: резина</t>
  </si>
  <si>
    <t>IMG_WSd_185551.png</t>
  </si>
  <si>
    <t>Босоножки женские «Летний бриз»</t>
  </si>
  <si>
    <t>Босоножки женские кожаные белые, регулируемый ремешок, закрытый каблук и кожаная подошва. Производитель: ООО «Модный силуэт», г. Кострома</t>
  </si>
  <si>
    <t>Верх — натуральная кожа, подкладка — натуральная кожа, подошва — кожа</t>
  </si>
  <si>
    <t>IMG_WSho_174409.png</t>
  </si>
  <si>
    <t>Демисезонные туфли натуральная кожа</t>
  </si>
  <si>
    <t>Комфортные лаконичные лодочки, классический дизайна с современными акцентами. Производитель: ООО «Модный силуэт», г. Кострома</t>
  </si>
  <si>
    <t>Верх — натуральная овечья кожа, подкладка и стелька — натуральная овечья кожа, подошва — резина</t>
  </si>
  <si>
    <t>IMG_WSho_185202.png</t>
  </si>
  <si>
    <t>Туфли женские натуральная кожа с металлическими вставками</t>
  </si>
  <si>
    <t>Стильные туфли для весеннего и летнего сезона. Производитель: ЗАО «Кожевенные традиции», г. Вятка</t>
  </si>
  <si>
    <t>Верх — натуральная телячьей кожа, металлическая пряжка, подкладка и стелька— натуральная овечья кожа, подошва — резина</t>
  </si>
  <si>
    <t>IMG_WSho_185545.png</t>
  </si>
  <si>
    <t>Туфли классические лодочки натуральная кожа</t>
  </si>
  <si>
    <t>Модель из натуральной кожи, классический острый носок и изящная шпилька. Производитель: ИП «Стиль и комфорт», г. Санкт-Петербург</t>
  </si>
  <si>
    <t>Верх — натуральная кожа, подкладка и стелька — натуральная кожа, подошва — тунит</t>
  </si>
  <si>
    <t>IMG_WS_174110.png</t>
  </si>
  <si>
    <t>Кроссовки белые с оранжевым и красным</t>
  </si>
  <si>
    <t>Многослойный верх из кожи и текстиля. Производитель: Фабрика «Топ-Топ», г. Киров</t>
  </si>
  <si>
    <t>Верх — 70% кожа, 30% текстиль, подкладка — текстиль, подошва — резина</t>
  </si>
  <si>
    <t>IMG_WS_185528.png</t>
  </si>
  <si>
    <t>Кроссовки летние кожаные</t>
  </si>
  <si>
    <t>Уверенность на каждом шагу. Материал обеспечивает долговечность и комфорт при носке. Производитель: Фабрика «Топ-Топ», г. Киров</t>
  </si>
  <si>
    <t>Верх — 87% кожа, 11% текстиль, 2% синтетика; подкладка: 100% текстиль; подошва: резина, пластик</t>
  </si>
  <si>
    <t>IMG_WS_185535.png</t>
  </si>
  <si>
    <t>Кроссовки кожаные</t>
  </si>
  <si>
    <t>Кроссовки женские из натуральной кожи. Производитель: ИП «Стиль и комфорт», г. Санкт-Петербург</t>
  </si>
  <si>
    <t>Верх — натуральная кожа, подкладка — кожа, подошва — полиуретан</t>
  </si>
  <si>
    <t>IMG_WS_185538.png</t>
  </si>
  <si>
    <t>Кроссовки «Стиль и комфорт»</t>
  </si>
  <si>
    <t>Кроссовки женские из натуральной кожи и синтетических материалов, сетчатые вставки. Производитель: ИП «Стиль и комфорт», г. Санкт-Петербург</t>
  </si>
  <si>
    <t>Верх — 70% кожа, 20% полиамид, 10% полиуретан; подкладка — текстиль, подошва — ТПУ</t>
  </si>
  <si>
    <t>IMG_MS_185531.png</t>
  </si>
  <si>
    <t>Кроссовки для бега «Драйв»</t>
  </si>
  <si>
    <t>Сочетание стиля, комфорта и современных технологий. Производитель: Фабрика «Азимут», г. Санкт-Петербург</t>
  </si>
  <si>
    <t>Верх —  сетка, подкладка — текстиль, подошва —  резина</t>
  </si>
  <si>
    <t>IMG_MS_185532.png</t>
  </si>
  <si>
    <t xml:space="preserve">Кроссовки «Азимут Бег» </t>
  </si>
  <si>
    <t>Универсальный выбор для повседневного использования. Производитель: Фабрика «Азимут», г. Санкт-Петербург</t>
  </si>
  <si>
    <t>Верх — 6% кожа, 29% текстиль, 15% полимерные материалы; подкладка — 100% текстиль; подошва — полимерные материалы, резина</t>
  </si>
  <si>
    <t>IMG_MS_185533.png</t>
  </si>
  <si>
    <t>Кроссовки</t>
  </si>
  <si>
    <t>Кроссовки для мужчин, идеальное сочетание стиля и комфорта. Производитель: Фабрика «Топ-Топ», г. Киров</t>
  </si>
  <si>
    <t>Верх — 56% кожа, 29% текстиль, 15% полимерные материалы; подкладка — 100% текстиль; подошва — полимерные материалы, резина</t>
  </si>
  <si>
    <t>IMG_MSho_190514.png</t>
  </si>
  <si>
    <t>Черные туфли в классическом стиле — база для деловых образов</t>
  </si>
  <si>
    <t xml:space="preserve">Модель выполнена из натуральной кожи, на резиновой подошве. Производитель: Дом обуви «Барбари», г. Новороссийск </t>
  </si>
  <si>
    <t>Верх — натуральная кожа, подкладка — текстиль, стелька — натуральная кожа, подошва — резина</t>
  </si>
  <si>
    <t>IMG_MSho_190518.png</t>
  </si>
  <si>
    <t>Туфли мужские светлые классика демисезонные</t>
  </si>
  <si>
    <t>Туфли на низком каблуке кожаные</t>
  </si>
  <si>
    <t>Верх — натуральная кожа, подкладка — текстиль, стелька — натуральная кожа, подошва — ТЭП</t>
  </si>
  <si>
    <t>IMG_MSho_191612.png</t>
  </si>
  <si>
    <t>Туфли из натуральной кожи</t>
  </si>
  <si>
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</si>
  <si>
    <t>Верх — натуральная кожа, подкладка — натуральная кожа, стелька — натуральная кожа, подошва — резина</t>
  </si>
  <si>
    <t>IMG_MB_174349.png</t>
  </si>
  <si>
    <t>Ботинки мужские демисезонные</t>
  </si>
  <si>
    <t>Ботинки из натуральной кожи темно-коричневого и черного цвета на шнурках. Производитель: Дом обуви «Берестов», г. Москва</t>
  </si>
  <si>
    <t>Верх — натуральная кожа, подкладка — текстиль, подошва — искусственный материал</t>
  </si>
  <si>
    <t>IMG_MB_191200.png</t>
  </si>
  <si>
    <t>Ботинки черные из натуральной кожи</t>
  </si>
  <si>
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</si>
  <si>
    <t>Верх — натуральная кожа, подкладка — ворсин, стелька — ворсин, подошва — тунит</t>
  </si>
  <si>
    <t>IMG_MB_191205.png</t>
  </si>
  <si>
    <t>Ботинки зимние классические</t>
  </si>
  <si>
    <t xml:space="preserve">Выбор на каждый день — натуральная кожа, натуральный мех. Производитель: Дом обуви «Барбари», г. Новороссийск </t>
  </si>
  <si>
    <t>Верх — натуральная кожа, подкладка — натуральный мех, стелька — натуральный мех, подошва — ТЭП</t>
  </si>
  <si>
    <t>Малыш-Спорт</t>
  </si>
  <si>
    <t>Топ-Топ</t>
  </si>
  <si>
    <t>Лапушка</t>
  </si>
  <si>
    <t>Тёплые ножки</t>
  </si>
  <si>
    <t>Северята</t>
  </si>
  <si>
    <t>Весна</t>
  </si>
  <si>
    <t>Здоровый шаг</t>
  </si>
  <si>
    <t>Карапуз</t>
  </si>
  <si>
    <t>Маленький франт</t>
  </si>
  <si>
    <t>Барбари</t>
  </si>
  <si>
    <t>Твой комфорт</t>
  </si>
  <si>
    <t>Стиль и комфорт</t>
  </si>
  <si>
    <t>Кожевенные традиции</t>
  </si>
  <si>
    <t>Модный силуэт</t>
  </si>
  <si>
    <t>Азимут</t>
  </si>
  <si>
    <t>Берестов</t>
  </si>
  <si>
    <t>Номер заказа</t>
  </si>
  <si>
    <t>Дата заказа</t>
  </si>
  <si>
    <t>Размер</t>
  </si>
  <si>
    <t>Количество</t>
  </si>
  <si>
    <t>Цена за единицу</t>
  </si>
  <si>
    <t>Сидорова Анна Дмитриевна</t>
  </si>
  <si>
    <t>Детская обувь</t>
  </si>
  <si>
    <t>Павлова Елена Петровна</t>
  </si>
  <si>
    <t>Женская обувь</t>
  </si>
  <si>
    <t>Васильева Ольга Игоревна</t>
  </si>
  <si>
    <t>Лебедева Ирина Владимировна</t>
  </si>
  <si>
    <t>Туфли женские натуральная кожа с металлическими вставками</t>
  </si>
  <si>
    <t>Морозов Сергей Павлович</t>
  </si>
  <si>
    <t>Мужская обувь</t>
  </si>
  <si>
    <t>Кроссовки «Азимут Бег»</t>
  </si>
  <si>
    <t>Михайлова Татьяна Юрьевна</t>
  </si>
  <si>
    <t>Черные туфли в классическом стиле</t>
  </si>
  <si>
    <t>Алексеев Артём Евгеньевич</t>
  </si>
  <si>
    <t>Николаев Владимир Иванович</t>
  </si>
  <si>
    <t>Смирнов Дмитрий Владимирович</t>
  </si>
  <si>
    <t>36.5</t>
  </si>
  <si>
    <t>37.5</t>
  </si>
  <si>
    <t>38.5</t>
  </si>
  <si>
    <t>39.5</t>
  </si>
  <si>
    <t>40.5</t>
  </si>
  <si>
    <t>41.5</t>
  </si>
  <si>
    <t>42.5</t>
  </si>
  <si>
    <t>Количество доступное для заказа</t>
  </si>
  <si>
    <t>Фамилия</t>
  </si>
  <si>
    <t>Имя</t>
  </si>
  <si>
    <t>Отчетсво</t>
  </si>
  <si>
    <t>Логин</t>
  </si>
  <si>
    <t>Роль</t>
  </si>
  <si>
    <t>Иванов</t>
  </si>
  <si>
    <t>Иван</t>
  </si>
  <si>
    <t>Сергеевич</t>
  </si>
  <si>
    <t>isivanov</t>
  </si>
  <si>
    <t>Администратор</t>
  </si>
  <si>
    <t>Петров</t>
  </si>
  <si>
    <t>Пётр</t>
  </si>
  <si>
    <t>Алексеевич</t>
  </si>
  <si>
    <t>papetrov</t>
  </si>
  <si>
    <t>Менеджер</t>
  </si>
  <si>
    <t>Сидорова</t>
  </si>
  <si>
    <t>Анна</t>
  </si>
  <si>
    <t>Дмитриевна</t>
  </si>
  <si>
    <t>asidorova</t>
  </si>
  <si>
    <t>Авторизованный пользователь</t>
  </si>
  <si>
    <t>Кузнецова</t>
  </si>
  <si>
    <t>Екатерина</t>
  </si>
  <si>
    <t>Андреевна</t>
  </si>
  <si>
    <t>ekuznetsova</t>
  </si>
  <si>
    <t>Смирнов</t>
  </si>
  <si>
    <t>Дмитрий</t>
  </si>
  <si>
    <t>Владимирович</t>
  </si>
  <si>
    <t>dsmirnov</t>
  </si>
  <si>
    <t>Попов</t>
  </si>
  <si>
    <t>Алексей</t>
  </si>
  <si>
    <t>Николаевич</t>
  </si>
  <si>
    <t>apopov</t>
  </si>
  <si>
    <t>Васильева</t>
  </si>
  <si>
    <t>Ольга</t>
  </si>
  <si>
    <t>Игоревна</t>
  </si>
  <si>
    <t>ovasileva</t>
  </si>
  <si>
    <t>Соколов</t>
  </si>
  <si>
    <t>Павел</t>
  </si>
  <si>
    <t>Викторович</t>
  </si>
  <si>
    <t>psokolov</t>
  </si>
  <si>
    <t>Михайлова</t>
  </si>
  <si>
    <t>Татьяна</t>
  </si>
  <si>
    <t>Юрьевна</t>
  </si>
  <si>
    <t>tmikhailova</t>
  </si>
  <si>
    <t>Новикова</t>
  </si>
  <si>
    <t>Наталья</t>
  </si>
  <si>
    <t>Сергеевна</t>
  </si>
  <si>
    <t>nnovikova</t>
  </si>
  <si>
    <t>Фёдоров</t>
  </si>
  <si>
    <t>Андрей</t>
  </si>
  <si>
    <t>Максимович</t>
  </si>
  <si>
    <t>afedorov</t>
  </si>
  <si>
    <t>Морозов</t>
  </si>
  <si>
    <t>Сергей</t>
  </si>
  <si>
    <t>Павлович</t>
  </si>
  <si>
    <t>smorozov</t>
  </si>
  <si>
    <t>Волкова</t>
  </si>
  <si>
    <t>Юлия</t>
  </si>
  <si>
    <t>Александровна</t>
  </si>
  <si>
    <t>jvolkova</t>
  </si>
  <si>
    <t>Алексеев</t>
  </si>
  <si>
    <t>Артём</t>
  </si>
  <si>
    <t>Евгеньевич</t>
  </si>
  <si>
    <t>aalekseev</t>
  </si>
  <si>
    <t>Лебедева</t>
  </si>
  <si>
    <t>Ирина</t>
  </si>
  <si>
    <t>Владимировна</t>
  </si>
  <si>
    <t>ilebedeva</t>
  </si>
  <si>
    <t>Егоров</t>
  </si>
  <si>
    <t>Никита</t>
  </si>
  <si>
    <t>Денисович</t>
  </si>
  <si>
    <t>negorov</t>
  </si>
  <si>
    <t>Павлова</t>
  </si>
  <si>
    <t>Елена</t>
  </si>
  <si>
    <t>Петровна</t>
  </si>
  <si>
    <t>epavlova</t>
  </si>
  <si>
    <t>Козлов</t>
  </si>
  <si>
    <t>Роман</t>
  </si>
  <si>
    <t>Олегович</t>
  </si>
  <si>
    <t>rkozlov</t>
  </si>
  <si>
    <t>Степанова</t>
  </si>
  <si>
    <t>Виктория</t>
  </si>
  <si>
    <t>Романовна</t>
  </si>
  <si>
    <t>vstepanova</t>
  </si>
  <si>
    <t>Николаев</t>
  </si>
  <si>
    <t>Владимир</t>
  </si>
  <si>
    <t>Иванович</t>
  </si>
  <si>
    <t>vnikolaev</t>
  </si>
  <si>
    <t>Sizes</t>
  </si>
  <si>
    <t>UsersID</t>
  </si>
  <si>
    <t>Caregories</t>
  </si>
  <si>
    <t>id</t>
  </si>
  <si>
    <t>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</si>
</sst>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0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opLeftCell="B1" zoomScaleNormal="100" workbookViewId="0">
      <selection activeCell="C2" sqref="C2"/>
    </sheetView>
  </sheetViews>
  <sheetFormatPr defaultRowHeight="15" x14ac:dyDescent="0.25"/>
  <cols>
    <col min="1" max="1" width="25.7109375" customWidth="1"/>
    <col min="2" max="2" width="65.85546875" customWidth="1"/>
    <col min="3" max="3" width="16.7109375" customWidth="1"/>
    <col min="4" max="4" width="96" customWidth="1"/>
    <col min="5" max="5" width="55.5703125" customWidth="1"/>
    <col min="6" max="6" width="11.28515625" customWidth="1"/>
    <col min="7" max="7" width="17.285156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6</v>
      </c>
      <c r="B2" s="1" t="s">
        <v>7</v>
      </c>
      <c r="C2" s="1">
        <v>1</v>
      </c>
      <c r="D2" s="1" t="s">
        <v>8</v>
      </c>
      <c r="E2" s="1" t="s">
        <v>9</v>
      </c>
      <c r="F2" s="2">
        <v>2190</v>
      </c>
    </row>
    <row r="3" spans="1:6" ht="15.75" x14ac:dyDescent="0.25">
      <c r="A3" s="1" t="s">
        <v>10</v>
      </c>
      <c r="B3" s="1" t="s">
        <v>11</v>
      </c>
      <c r="C3" s="1">
        <v>2</v>
      </c>
      <c r="D3" s="1" t="s">
        <v>12</v>
      </c>
      <c r="E3" s="1" t="s">
        <v>13</v>
      </c>
      <c r="F3" s="2">
        <v>2490</v>
      </c>
    </row>
    <row r="4" spans="1:6" ht="15.75" x14ac:dyDescent="0.25">
      <c r="A4" s="1" t="s">
        <v>14</v>
      </c>
      <c r="B4" s="1" t="s">
        <v>15</v>
      </c>
      <c r="C4" s="1">
        <v>3</v>
      </c>
      <c r="D4" s="1" t="s">
        <v>16</v>
      </c>
      <c r="E4" s="1" t="s">
        <v>17</v>
      </c>
      <c r="F4" s="2">
        <v>1990</v>
      </c>
    </row>
    <row r="5" spans="1:6" ht="15.75" x14ac:dyDescent="0.25">
      <c r="A5" s="1" t="s">
        <v>18</v>
      </c>
      <c r="B5" s="1" t="s">
        <v>19</v>
      </c>
      <c r="C5" s="1">
        <v>4</v>
      </c>
      <c r="D5" s="1" t="s">
        <v>20</v>
      </c>
      <c r="E5" s="1" t="s">
        <v>21</v>
      </c>
      <c r="F5" s="2">
        <v>3490</v>
      </c>
    </row>
    <row r="6" spans="1:6" ht="15.75" x14ac:dyDescent="0.25">
      <c r="A6" s="1" t="s">
        <v>22</v>
      </c>
      <c r="B6" s="1" t="s">
        <v>23</v>
      </c>
      <c r="C6" s="1">
        <v>5</v>
      </c>
      <c r="D6" s="1" t="s">
        <v>24</v>
      </c>
      <c r="E6" s="1" t="s">
        <v>25</v>
      </c>
      <c r="F6" s="2">
        <v>3190</v>
      </c>
    </row>
    <row r="7" spans="1:6" ht="15.75" x14ac:dyDescent="0.25">
      <c r="A7" s="1" t="s">
        <v>26</v>
      </c>
      <c r="B7" s="1" t="s">
        <v>27</v>
      </c>
      <c r="C7" s="1">
        <v>6</v>
      </c>
      <c r="D7" s="1" t="s">
        <v>28</v>
      </c>
      <c r="E7" s="1" t="s">
        <v>29</v>
      </c>
      <c r="F7" s="2">
        <v>4290</v>
      </c>
    </row>
    <row r="8" spans="1:6" ht="15.75" x14ac:dyDescent="0.25">
      <c r="A8" s="1" t="s">
        <v>30</v>
      </c>
      <c r="B8" s="1" t="s">
        <v>31</v>
      </c>
      <c r="C8" s="1">
        <v>7</v>
      </c>
      <c r="D8" s="1" t="s">
        <v>32</v>
      </c>
      <c r="E8" s="1" t="s">
        <v>33</v>
      </c>
      <c r="F8" s="2">
        <v>2790</v>
      </c>
    </row>
    <row r="9" spans="1:6" ht="15.75" x14ac:dyDescent="0.25">
      <c r="A9" s="1" t="s">
        <v>34</v>
      </c>
      <c r="B9" s="1" t="s">
        <v>35</v>
      </c>
      <c r="C9" s="1">
        <v>8</v>
      </c>
      <c r="D9" s="1" t="s">
        <v>36</v>
      </c>
      <c r="E9" s="1" t="s">
        <v>37</v>
      </c>
      <c r="F9" s="2">
        <v>1690</v>
      </c>
    </row>
    <row r="10" spans="1:6" ht="15.75" x14ac:dyDescent="0.25">
      <c r="A10" s="1" t="s">
        <v>38</v>
      </c>
      <c r="B10" s="1" t="s">
        <v>39</v>
      </c>
      <c r="C10" s="1">
        <v>9</v>
      </c>
      <c r="D10" s="1" t="s">
        <v>40</v>
      </c>
      <c r="E10" s="1" t="s">
        <v>41</v>
      </c>
      <c r="F10" s="2">
        <v>2390</v>
      </c>
    </row>
    <row r="11" spans="1:6" ht="15.75" x14ac:dyDescent="0.25">
      <c r="A11" s="1" t="s">
        <v>42</v>
      </c>
      <c r="B11" s="1" t="s">
        <v>43</v>
      </c>
      <c r="C11" s="1">
        <v>10</v>
      </c>
      <c r="D11" s="1" t="s">
        <v>44</v>
      </c>
      <c r="E11" s="1" t="s">
        <v>45</v>
      </c>
      <c r="F11" s="2">
        <v>25000</v>
      </c>
    </row>
    <row r="12" spans="1:6" ht="15.75" x14ac:dyDescent="0.25">
      <c r="A12" s="1" t="s">
        <v>46</v>
      </c>
      <c r="B12" s="1" t="s">
        <v>47</v>
      </c>
      <c r="C12" s="1">
        <v>10</v>
      </c>
      <c r="D12" s="1" t="s">
        <v>48</v>
      </c>
      <c r="E12" s="1" t="s">
        <v>49</v>
      </c>
      <c r="F12" s="2">
        <v>15000</v>
      </c>
    </row>
    <row r="13" spans="1:6" ht="15.75" x14ac:dyDescent="0.25">
      <c r="A13" s="1" t="s">
        <v>50</v>
      </c>
      <c r="B13" s="1" t="s">
        <v>51</v>
      </c>
      <c r="C13" s="1">
        <v>11</v>
      </c>
      <c r="D13" s="1" t="s">
        <v>52</v>
      </c>
      <c r="E13" s="1" t="s">
        <v>53</v>
      </c>
      <c r="F13" s="2">
        <v>17000</v>
      </c>
    </row>
    <row r="14" spans="1:6" ht="15.75" x14ac:dyDescent="0.25">
      <c r="A14" s="1" t="s">
        <v>54</v>
      </c>
      <c r="B14" s="1" t="s">
        <v>55</v>
      </c>
      <c r="C14" s="1">
        <v>12</v>
      </c>
      <c r="D14" s="1" t="s">
        <v>56</v>
      </c>
      <c r="E14" s="1" t="s">
        <v>57</v>
      </c>
      <c r="F14" s="2">
        <v>7500</v>
      </c>
    </row>
    <row r="15" spans="1:6" ht="15.75" x14ac:dyDescent="0.25">
      <c r="A15" s="1" t="s">
        <v>58</v>
      </c>
      <c r="B15" s="1" t="s">
        <v>59</v>
      </c>
      <c r="C15" s="1">
        <v>13</v>
      </c>
      <c r="D15" s="1" t="s">
        <v>60</v>
      </c>
      <c r="E15" s="1" t="s">
        <v>61</v>
      </c>
      <c r="F15" s="2">
        <v>5600</v>
      </c>
    </row>
    <row r="16" spans="1:6" ht="15.75" x14ac:dyDescent="0.25">
      <c r="A16" s="1" t="s">
        <v>62</v>
      </c>
      <c r="B16" s="1" t="s">
        <v>63</v>
      </c>
      <c r="C16" s="1">
        <v>14</v>
      </c>
      <c r="D16" s="1" t="s">
        <v>64</v>
      </c>
      <c r="E16" s="1" t="s">
        <v>65</v>
      </c>
      <c r="F16" s="2">
        <v>7130</v>
      </c>
    </row>
    <row r="17" spans="1:6" ht="15.75" x14ac:dyDescent="0.25">
      <c r="A17" s="1" t="s">
        <v>66</v>
      </c>
      <c r="B17" s="1" t="s">
        <v>67</v>
      </c>
      <c r="C17" s="1">
        <v>14</v>
      </c>
      <c r="D17" s="1" t="s">
        <v>68</v>
      </c>
      <c r="E17" s="1" t="s">
        <v>69</v>
      </c>
      <c r="F17" s="2">
        <v>12340</v>
      </c>
    </row>
    <row r="18" spans="1:6" ht="15.75" x14ac:dyDescent="0.25">
      <c r="A18" s="1" t="s">
        <v>70</v>
      </c>
      <c r="B18" s="1" t="s">
        <v>71</v>
      </c>
      <c r="C18" s="1">
        <v>13</v>
      </c>
      <c r="D18" s="1" t="s">
        <v>72</v>
      </c>
      <c r="E18" s="1" t="s">
        <v>73</v>
      </c>
      <c r="F18" s="2">
        <v>7757</v>
      </c>
    </row>
    <row r="19" spans="1:6" ht="15.75" x14ac:dyDescent="0.25">
      <c r="A19" s="1" t="s">
        <v>74</v>
      </c>
      <c r="B19" s="1" t="s">
        <v>75</v>
      </c>
      <c r="C19" s="1">
        <v>12</v>
      </c>
      <c r="D19" s="1" t="s">
        <v>76</v>
      </c>
      <c r="E19" s="1" t="s">
        <v>77</v>
      </c>
      <c r="F19" s="2">
        <v>7550</v>
      </c>
    </row>
    <row r="20" spans="1:6" ht="15.75" x14ac:dyDescent="0.25">
      <c r="A20" s="1" t="s">
        <v>78</v>
      </c>
      <c r="B20" s="1" t="s">
        <v>79</v>
      </c>
      <c r="C20" s="1">
        <v>2</v>
      </c>
      <c r="D20" s="1" t="s">
        <v>80</v>
      </c>
      <c r="E20" s="1" t="s">
        <v>81</v>
      </c>
      <c r="F20" s="2">
        <v>9450</v>
      </c>
    </row>
    <row r="21" spans="1:6" ht="15.75" x14ac:dyDescent="0.25">
      <c r="A21" s="1" t="s">
        <v>82</v>
      </c>
      <c r="B21" s="1" t="s">
        <v>83</v>
      </c>
      <c r="C21" s="1">
        <v>2</v>
      </c>
      <c r="D21" s="1" t="s">
        <v>84</v>
      </c>
      <c r="E21" s="1" t="s">
        <v>85</v>
      </c>
      <c r="F21" s="2">
        <v>8565</v>
      </c>
    </row>
    <row r="22" spans="1:6" ht="15.75" x14ac:dyDescent="0.25">
      <c r="A22" s="1" t="s">
        <v>86</v>
      </c>
      <c r="B22" s="1" t="s">
        <v>87</v>
      </c>
      <c r="C22" s="1">
        <v>12</v>
      </c>
      <c r="D22" s="1" t="s">
        <v>88</v>
      </c>
      <c r="E22" s="1" t="s">
        <v>89</v>
      </c>
      <c r="F22" s="2">
        <v>8765</v>
      </c>
    </row>
    <row r="23" spans="1:6" ht="15.75" x14ac:dyDescent="0.25">
      <c r="A23" s="1" t="s">
        <v>90</v>
      </c>
      <c r="B23" s="1" t="s">
        <v>91</v>
      </c>
      <c r="C23" s="1">
        <v>12</v>
      </c>
      <c r="D23" s="1" t="s">
        <v>92</v>
      </c>
      <c r="E23" s="1" t="s">
        <v>93</v>
      </c>
      <c r="F23" s="2">
        <v>7795</v>
      </c>
    </row>
    <row r="24" spans="1:6" ht="15.75" x14ac:dyDescent="0.25">
      <c r="A24" s="1" t="s">
        <v>94</v>
      </c>
      <c r="B24" s="1" t="s">
        <v>95</v>
      </c>
      <c r="C24" s="1">
        <v>15</v>
      </c>
      <c r="D24" s="1" t="s">
        <v>96</v>
      </c>
      <c r="E24" s="1" t="s">
        <v>97</v>
      </c>
      <c r="F24" s="2">
        <v>6550</v>
      </c>
    </row>
    <row r="25" spans="1:6" ht="15.75" x14ac:dyDescent="0.25">
      <c r="A25" s="1" t="s">
        <v>98</v>
      </c>
      <c r="B25" s="1" t="s">
        <v>99</v>
      </c>
      <c r="C25" s="1">
        <v>15</v>
      </c>
      <c r="D25" s="1" t="s">
        <v>100</v>
      </c>
      <c r="E25" s="1" t="s">
        <v>101</v>
      </c>
      <c r="F25" s="2">
        <v>7890</v>
      </c>
    </row>
    <row r="26" spans="1:6" ht="15.75" x14ac:dyDescent="0.25">
      <c r="A26" s="1" t="s">
        <v>102</v>
      </c>
      <c r="B26" s="1" t="s">
        <v>103</v>
      </c>
      <c r="C26" s="1">
        <v>2</v>
      </c>
      <c r="D26" s="1" t="s">
        <v>104</v>
      </c>
      <c r="E26" s="1" t="s">
        <v>105</v>
      </c>
      <c r="F26" s="2">
        <v>9567</v>
      </c>
    </row>
    <row r="27" spans="1:6" ht="15.75" x14ac:dyDescent="0.25">
      <c r="A27" s="1" t="s">
        <v>106</v>
      </c>
      <c r="B27" s="1" t="s">
        <v>107</v>
      </c>
      <c r="C27" s="1">
        <v>10</v>
      </c>
      <c r="D27" s="1" t="s">
        <v>108</v>
      </c>
      <c r="E27" s="1" t="s">
        <v>109</v>
      </c>
      <c r="F27" s="2">
        <v>24569</v>
      </c>
    </row>
    <row r="28" spans="1:6" ht="15.75" x14ac:dyDescent="0.25">
      <c r="A28" s="1" t="s">
        <v>110</v>
      </c>
      <c r="B28" s="1" t="s">
        <v>111</v>
      </c>
      <c r="C28" s="1">
        <v>16</v>
      </c>
      <c r="D28" s="1" t="s">
        <v>112</v>
      </c>
      <c r="E28" s="1" t="s">
        <v>113</v>
      </c>
      <c r="F28" s="2">
        <v>10155</v>
      </c>
    </row>
    <row r="29" spans="1:6" ht="15.75" x14ac:dyDescent="0.25">
      <c r="A29" s="1" t="s">
        <v>114</v>
      </c>
      <c r="B29" s="1" t="s">
        <v>115</v>
      </c>
      <c r="C29" s="1">
        <v>16</v>
      </c>
      <c r="D29" s="1" t="s">
        <v>116</v>
      </c>
      <c r="E29" s="1" t="s">
        <v>117</v>
      </c>
      <c r="F29" s="2">
        <v>25625</v>
      </c>
    </row>
    <row r="30" spans="1:6" ht="15.75" x14ac:dyDescent="0.25">
      <c r="A30" s="1" t="s">
        <v>118</v>
      </c>
      <c r="B30" s="1" t="s">
        <v>119</v>
      </c>
      <c r="C30" s="1">
        <v>10</v>
      </c>
      <c r="D30" s="1" t="s">
        <v>120</v>
      </c>
      <c r="E30" s="1" t="s">
        <v>121</v>
      </c>
      <c r="F30" s="2">
        <v>21500</v>
      </c>
    </row>
    <row r="31" spans="1:6" ht="15.75" x14ac:dyDescent="0.25">
      <c r="A31" s="1" t="s">
        <v>122</v>
      </c>
      <c r="B31" s="1" t="s">
        <v>123</v>
      </c>
      <c r="C31" s="1">
        <v>13</v>
      </c>
      <c r="D31" s="1" t="s">
        <v>124</v>
      </c>
      <c r="E31" s="1" t="s">
        <v>125</v>
      </c>
      <c r="F31" s="2">
        <v>14567</v>
      </c>
    </row>
    <row r="32" spans="1:6" ht="15.75" x14ac:dyDescent="0.25">
      <c r="A32" s="1" t="s">
        <v>126</v>
      </c>
      <c r="B32" s="1" t="s">
        <v>127</v>
      </c>
      <c r="C32" s="1">
        <v>10</v>
      </c>
      <c r="D32" s="1" t="s">
        <v>128</v>
      </c>
      <c r="E32" s="1" t="s">
        <v>129</v>
      </c>
      <c r="F32" s="2">
        <v>15670</v>
      </c>
    </row>
    <row r="33" spans="2:7" ht="15.75" x14ac:dyDescent="0.25">
      <c r="B33" s="1"/>
      <c r="C33" s="1"/>
      <c r="D33" s="1"/>
      <c r="E33" s="1"/>
      <c r="F33" s="1"/>
    </row>
    <row r="34" spans="2:7" ht="15.75" x14ac:dyDescent="0.25">
      <c r="B34" s="1"/>
      <c r="C34" s="1"/>
      <c r="D34" s="1"/>
      <c r="E34" s="1"/>
      <c r="F34" s="1"/>
    </row>
    <row r="35" spans="2:7" ht="15.75" x14ac:dyDescent="0.25">
      <c r="B35" s="1"/>
      <c r="C35" s="1"/>
      <c r="D35" s="1"/>
      <c r="E35" s="1"/>
      <c r="F35" s="1"/>
    </row>
    <row r="36" spans="2:7" ht="15.75" x14ac:dyDescent="0.25">
      <c r="B36" s="1"/>
      <c r="C36" s="1"/>
      <c r="D36" s="1"/>
      <c r="E36" s="1"/>
      <c r="F36" s="1"/>
    </row>
    <row r="37" spans="2:7" ht="15.75" x14ac:dyDescent="0.25">
      <c r="B37" s="1" t="s">
        <v>130</v>
      </c>
      <c r="C37" s="1">
        <f xml:space="preserve"> MATCH(B37,$G$37:$G$52,0)</f>
        <v>1</v>
      </c>
      <c r="D37" s="1"/>
      <c r="F37" s="1"/>
      <c r="G37" s="1" t="s">
        <v>130</v>
      </c>
    </row>
    <row r="38" spans="2:7" ht="15.75" x14ac:dyDescent="0.25">
      <c r="B38" s="1" t="s">
        <v>131</v>
      </c>
      <c r="C38" s="1">
        <f t="shared" ref="C38:C67" si="0" xml:space="preserve"> MATCH(B38,$G$37:$G$52,0)</f>
        <v>2</v>
      </c>
      <c r="D38" s="1"/>
      <c r="F38" s="1"/>
      <c r="G38" s="1" t="s">
        <v>131</v>
      </c>
    </row>
    <row r="39" spans="2:7" ht="15.75" x14ac:dyDescent="0.25">
      <c r="B39" s="1" t="s">
        <v>132</v>
      </c>
      <c r="C39" s="1">
        <f t="shared" si="0"/>
        <v>3</v>
      </c>
      <c r="D39" s="1"/>
      <c r="F39" s="1"/>
      <c r="G39" s="1" t="s">
        <v>132</v>
      </c>
    </row>
    <row r="40" spans="2:7" ht="15.75" x14ac:dyDescent="0.25">
      <c r="B40" s="1" t="s">
        <v>133</v>
      </c>
      <c r="C40" s="1">
        <f t="shared" si="0"/>
        <v>4</v>
      </c>
      <c r="D40" s="1"/>
      <c r="F40" s="1"/>
      <c r="G40" s="1" t="s">
        <v>133</v>
      </c>
    </row>
    <row r="41" spans="2:7" ht="15.75" x14ac:dyDescent="0.25">
      <c r="B41" s="1" t="s">
        <v>134</v>
      </c>
      <c r="C41" s="1">
        <f t="shared" si="0"/>
        <v>5</v>
      </c>
      <c r="D41" s="1"/>
      <c r="F41" s="1"/>
      <c r="G41" s="1" t="s">
        <v>134</v>
      </c>
    </row>
    <row r="42" spans="2:7" ht="15.75" x14ac:dyDescent="0.25">
      <c r="B42" s="1" t="s">
        <v>135</v>
      </c>
      <c r="C42" s="1">
        <f t="shared" si="0"/>
        <v>6</v>
      </c>
      <c r="D42" s="1"/>
      <c r="F42" s="1"/>
      <c r="G42" s="1" t="s">
        <v>135</v>
      </c>
    </row>
    <row r="43" spans="2:7" ht="15.75" x14ac:dyDescent="0.25">
      <c r="B43" s="1" t="s">
        <v>136</v>
      </c>
      <c r="C43" s="1">
        <f t="shared" si="0"/>
        <v>7</v>
      </c>
      <c r="D43" s="1"/>
      <c r="F43" s="1"/>
      <c r="G43" s="1" t="s">
        <v>136</v>
      </c>
    </row>
    <row r="44" spans="2:7" ht="15.75" x14ac:dyDescent="0.25">
      <c r="B44" s="1" t="s">
        <v>137</v>
      </c>
      <c r="C44" s="1">
        <f t="shared" si="0"/>
        <v>8</v>
      </c>
      <c r="D44" s="1"/>
      <c r="F44" s="1"/>
      <c r="G44" s="1" t="s">
        <v>137</v>
      </c>
    </row>
    <row r="45" spans="2:7" ht="15.75" x14ac:dyDescent="0.25">
      <c r="B45" s="1" t="s">
        <v>138</v>
      </c>
      <c r="C45" s="1">
        <f t="shared" si="0"/>
        <v>9</v>
      </c>
      <c r="D45" s="1"/>
      <c r="F45" s="1"/>
      <c r="G45" s="1" t="s">
        <v>138</v>
      </c>
    </row>
    <row r="46" spans="2:7" ht="15.75" x14ac:dyDescent="0.25">
      <c r="B46" s="1" t="s">
        <v>139</v>
      </c>
      <c r="C46" s="1">
        <f t="shared" si="0"/>
        <v>10</v>
      </c>
      <c r="D46" s="1"/>
      <c r="F46" s="1"/>
      <c r="G46" s="1" t="s">
        <v>139</v>
      </c>
    </row>
    <row r="47" spans="2:7" ht="15.75" x14ac:dyDescent="0.25">
      <c r="B47" s="1" t="s">
        <v>139</v>
      </c>
      <c r="C47" s="1">
        <f t="shared" si="0"/>
        <v>10</v>
      </c>
      <c r="D47" s="1"/>
      <c r="F47" s="1"/>
      <c r="G47" s="1" t="s">
        <v>140</v>
      </c>
    </row>
    <row r="48" spans="2:7" ht="15.75" x14ac:dyDescent="0.25">
      <c r="B48" s="1" t="s">
        <v>140</v>
      </c>
      <c r="C48" s="1">
        <f t="shared" si="0"/>
        <v>11</v>
      </c>
      <c r="D48" s="1"/>
      <c r="F48" s="1"/>
      <c r="G48" s="1" t="s">
        <v>141</v>
      </c>
    </row>
    <row r="49" spans="2:7" ht="15.75" x14ac:dyDescent="0.25">
      <c r="B49" s="1" t="s">
        <v>141</v>
      </c>
      <c r="C49" s="1">
        <f t="shared" si="0"/>
        <v>12</v>
      </c>
      <c r="D49" s="1"/>
      <c r="F49" s="1"/>
      <c r="G49" s="1" t="s">
        <v>142</v>
      </c>
    </row>
    <row r="50" spans="2:7" ht="15.75" x14ac:dyDescent="0.25">
      <c r="B50" s="1" t="s">
        <v>142</v>
      </c>
      <c r="C50" s="1">
        <f t="shared" si="0"/>
        <v>13</v>
      </c>
      <c r="D50" s="1"/>
      <c r="F50" s="1"/>
      <c r="G50" s="1" t="s">
        <v>143</v>
      </c>
    </row>
    <row r="51" spans="2:7" ht="15.75" x14ac:dyDescent="0.25">
      <c r="B51" s="1" t="s">
        <v>143</v>
      </c>
      <c r="C51" s="1">
        <f t="shared" si="0"/>
        <v>14</v>
      </c>
      <c r="D51" s="1"/>
      <c r="F51" s="1"/>
      <c r="G51" s="1" t="s">
        <v>144</v>
      </c>
    </row>
    <row r="52" spans="2:7" ht="15.75" x14ac:dyDescent="0.25">
      <c r="B52" s="1" t="s">
        <v>143</v>
      </c>
      <c r="C52" s="1">
        <f t="shared" si="0"/>
        <v>14</v>
      </c>
      <c r="D52" s="1"/>
      <c r="F52" s="1"/>
      <c r="G52" s="1" t="s">
        <v>145</v>
      </c>
    </row>
    <row r="53" spans="2:7" ht="15.75" x14ac:dyDescent="0.25">
      <c r="B53" s="1" t="s">
        <v>142</v>
      </c>
      <c r="C53" s="1">
        <f t="shared" si="0"/>
        <v>13</v>
      </c>
    </row>
    <row r="54" spans="2:7" ht="15.75" x14ac:dyDescent="0.25">
      <c r="B54" s="1" t="s">
        <v>141</v>
      </c>
      <c r="C54" s="1">
        <f t="shared" si="0"/>
        <v>12</v>
      </c>
    </row>
    <row r="55" spans="2:7" ht="15.75" x14ac:dyDescent="0.25">
      <c r="B55" s="1" t="s">
        <v>131</v>
      </c>
      <c r="C55" s="1">
        <f t="shared" si="0"/>
        <v>2</v>
      </c>
    </row>
    <row r="56" spans="2:7" ht="15.75" x14ac:dyDescent="0.25">
      <c r="B56" s="1" t="s">
        <v>131</v>
      </c>
      <c r="C56" s="1">
        <f xml:space="preserve"> MATCH(B56,$G$37:$G$52,0)</f>
        <v>2</v>
      </c>
    </row>
    <row r="57" spans="2:7" ht="15.75" x14ac:dyDescent="0.25">
      <c r="B57" s="1" t="s">
        <v>141</v>
      </c>
      <c r="C57" s="1">
        <f t="shared" si="0"/>
        <v>12</v>
      </c>
    </row>
    <row r="58" spans="2:7" ht="15.75" x14ac:dyDescent="0.25">
      <c r="B58" s="1" t="s">
        <v>141</v>
      </c>
      <c r="C58" s="1">
        <f t="shared" si="0"/>
        <v>12</v>
      </c>
    </row>
    <row r="59" spans="2:7" ht="15.75" x14ac:dyDescent="0.25">
      <c r="B59" s="1" t="s">
        <v>144</v>
      </c>
      <c r="C59" s="1">
        <f t="shared" si="0"/>
        <v>15</v>
      </c>
    </row>
    <row r="60" spans="2:7" ht="15.75" x14ac:dyDescent="0.25">
      <c r="B60" s="1" t="s">
        <v>144</v>
      </c>
      <c r="C60" s="1">
        <f t="shared" si="0"/>
        <v>15</v>
      </c>
    </row>
    <row r="61" spans="2:7" ht="15.75" x14ac:dyDescent="0.25">
      <c r="B61" s="1" t="s">
        <v>131</v>
      </c>
      <c r="C61" s="1">
        <f t="shared" si="0"/>
        <v>2</v>
      </c>
    </row>
    <row r="62" spans="2:7" ht="15.75" x14ac:dyDescent="0.25">
      <c r="B62" s="1" t="s">
        <v>139</v>
      </c>
      <c r="C62" s="1">
        <f t="shared" si="0"/>
        <v>10</v>
      </c>
    </row>
    <row r="63" spans="2:7" ht="15.75" x14ac:dyDescent="0.25">
      <c r="B63" s="1" t="s">
        <v>145</v>
      </c>
      <c r="C63" s="1">
        <f t="shared" si="0"/>
        <v>16</v>
      </c>
    </row>
    <row r="64" spans="2:7" ht="15.75" x14ac:dyDescent="0.25">
      <c r="B64" s="1" t="s">
        <v>145</v>
      </c>
      <c r="C64" s="1">
        <f t="shared" si="0"/>
        <v>16</v>
      </c>
    </row>
    <row r="65" spans="2:3" ht="15.75" x14ac:dyDescent="0.25">
      <c r="B65" s="1" t="s">
        <v>139</v>
      </c>
      <c r="C65" s="1">
        <f t="shared" si="0"/>
        <v>10</v>
      </c>
    </row>
    <row r="66" spans="2:3" ht="15.75" x14ac:dyDescent="0.25">
      <c r="B66" s="1" t="s">
        <v>142</v>
      </c>
      <c r="C66" s="1">
        <f t="shared" si="0"/>
        <v>13</v>
      </c>
    </row>
    <row r="67" spans="2:3" ht="15.75" x14ac:dyDescent="0.25">
      <c r="B67" s="1" t="s">
        <v>139</v>
      </c>
      <c r="C67" s="1">
        <f t="shared" si="0"/>
        <v>10</v>
      </c>
    </row>
    <row r="68" spans="2:3" ht="15.75" x14ac:dyDescent="0.25">
      <c r="C68" s="1"/>
    </row>
    <row r="69" spans="2:3" ht="15.75" x14ac:dyDescent="0.25">
      <c r="C69" s="1"/>
    </row>
    <row r="70" spans="2:3" ht="15.75" x14ac:dyDescent="0.25">
      <c r="C70" s="1"/>
    </row>
    <row r="71" spans="2:3" ht="15.75" x14ac:dyDescent="0.25">
      <c r="C71" s="1"/>
    </row>
    <row r="72" spans="2:3" ht="15.75" x14ac:dyDescent="0.25">
      <c r="C7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>
      <selection activeCell="H35" sqref="H35"/>
    </sheetView>
  </sheetViews>
  <sheetFormatPr defaultRowHeight="15" x14ac:dyDescent="0.25"/>
  <cols>
    <col min="1" max="1" width="30" customWidth="1"/>
    <col min="2" max="2" width="18.42578125" customWidth="1"/>
    <col min="3" max="3" width="26" customWidth="1"/>
    <col min="4" max="4" width="30" customWidth="1"/>
    <col min="5" max="5" width="44" customWidth="1"/>
    <col min="6" max="6" width="19.5703125" customWidth="1"/>
    <col min="9" max="9" width="20.5703125" customWidth="1"/>
  </cols>
  <sheetData>
    <row r="1" spans="1:9" ht="15.75" x14ac:dyDescent="0.25">
      <c r="A1" s="1" t="s">
        <v>146</v>
      </c>
      <c r="B1" s="1" t="s">
        <v>147</v>
      </c>
      <c r="C1" s="1" t="s">
        <v>263</v>
      </c>
      <c r="D1" s="1" t="s">
        <v>264</v>
      </c>
      <c r="E1" s="1" t="s">
        <v>1</v>
      </c>
      <c r="F1" s="1" t="s">
        <v>2</v>
      </c>
      <c r="G1" s="1" t="s">
        <v>262</v>
      </c>
      <c r="H1" s="1" t="s">
        <v>149</v>
      </c>
      <c r="I1" s="1" t="s">
        <v>150</v>
      </c>
    </row>
    <row r="2" spans="1:9" ht="15.75" x14ac:dyDescent="0.25">
      <c r="A2" s="2">
        <v>1</v>
      </c>
      <c r="B2" s="3">
        <v>46114</v>
      </c>
      <c r="C2" s="1">
        <v>3</v>
      </c>
      <c r="D2" s="1">
        <v>1</v>
      </c>
      <c r="E2" s="1" t="s">
        <v>7</v>
      </c>
      <c r="F2" s="1">
        <v>1</v>
      </c>
      <c r="G2" s="2">
        <v>20</v>
      </c>
      <c r="H2" s="2">
        <v>1</v>
      </c>
      <c r="I2" s="2">
        <v>2190</v>
      </c>
    </row>
    <row r="3" spans="1:9" ht="15.75" x14ac:dyDescent="0.25">
      <c r="A3" s="2">
        <v>1</v>
      </c>
      <c r="B3" s="3">
        <v>46114</v>
      </c>
      <c r="C3" s="1">
        <v>3</v>
      </c>
      <c r="D3" s="1">
        <v>1</v>
      </c>
      <c r="E3" s="1" t="s">
        <v>31</v>
      </c>
      <c r="F3" s="1">
        <v>2</v>
      </c>
      <c r="G3" s="2">
        <v>22</v>
      </c>
      <c r="H3" s="2">
        <v>1</v>
      </c>
      <c r="I3" s="2">
        <v>2790</v>
      </c>
    </row>
    <row r="4" spans="1:9" ht="15.75" x14ac:dyDescent="0.25">
      <c r="A4" s="2">
        <v>2</v>
      </c>
      <c r="B4" s="3">
        <v>46117</v>
      </c>
      <c r="C4" s="1">
        <v>17</v>
      </c>
      <c r="D4" s="1">
        <v>2</v>
      </c>
      <c r="E4" s="1" t="s">
        <v>43</v>
      </c>
      <c r="F4" s="1">
        <v>3</v>
      </c>
      <c r="G4" s="2">
        <v>36</v>
      </c>
      <c r="H4" s="2">
        <v>1</v>
      </c>
      <c r="I4" s="2">
        <v>25000</v>
      </c>
    </row>
    <row r="5" spans="1:9" ht="15.75" x14ac:dyDescent="0.25">
      <c r="A5" s="2">
        <v>2</v>
      </c>
      <c r="B5" s="3">
        <v>46117</v>
      </c>
      <c r="C5" s="1">
        <v>17</v>
      </c>
      <c r="D5" s="1">
        <v>2</v>
      </c>
      <c r="E5" s="1" t="s">
        <v>55</v>
      </c>
      <c r="F5" s="1">
        <v>4</v>
      </c>
      <c r="G5" s="2">
        <v>38</v>
      </c>
      <c r="H5" s="2">
        <v>1</v>
      </c>
      <c r="I5" s="2">
        <v>7500</v>
      </c>
    </row>
    <row r="6" spans="1:9" ht="15.75" x14ac:dyDescent="0.25">
      <c r="A6" s="2">
        <v>3</v>
      </c>
      <c r="B6" s="3">
        <v>46120</v>
      </c>
      <c r="C6" s="1">
        <v>7</v>
      </c>
      <c r="D6" s="1">
        <v>2</v>
      </c>
      <c r="E6" s="1" t="s">
        <v>51</v>
      </c>
      <c r="F6" s="1">
        <v>5</v>
      </c>
      <c r="G6" s="2">
        <v>37</v>
      </c>
      <c r="H6" s="2">
        <v>1</v>
      </c>
      <c r="I6" s="2">
        <v>17000</v>
      </c>
    </row>
    <row r="7" spans="1:9" ht="15.75" x14ac:dyDescent="0.25">
      <c r="A7" s="2">
        <v>3</v>
      </c>
      <c r="B7" s="3">
        <v>46120</v>
      </c>
      <c r="C7" s="1">
        <v>7</v>
      </c>
      <c r="D7" s="1">
        <v>2</v>
      </c>
      <c r="E7" s="1" t="s">
        <v>83</v>
      </c>
      <c r="F7" s="1">
        <v>6</v>
      </c>
      <c r="G7" s="2">
        <v>37</v>
      </c>
      <c r="H7" s="2">
        <v>1</v>
      </c>
      <c r="I7" s="2">
        <v>8565</v>
      </c>
    </row>
    <row r="8" spans="1:9" ht="15.75" x14ac:dyDescent="0.25">
      <c r="A8" s="2">
        <v>3</v>
      </c>
      <c r="B8" s="3">
        <v>46120</v>
      </c>
      <c r="C8" s="1">
        <v>7</v>
      </c>
      <c r="D8" s="1">
        <v>2</v>
      </c>
      <c r="E8" s="1" t="s">
        <v>91</v>
      </c>
      <c r="F8" s="1">
        <v>4</v>
      </c>
      <c r="G8" s="2">
        <v>35</v>
      </c>
      <c r="H8" s="2">
        <v>1</v>
      </c>
      <c r="I8" s="2">
        <v>7795</v>
      </c>
    </row>
    <row r="9" spans="1:9" ht="15.75" x14ac:dyDescent="0.25">
      <c r="A9" s="2">
        <v>4</v>
      </c>
      <c r="B9" s="3">
        <v>46124</v>
      </c>
      <c r="C9" s="1">
        <v>15</v>
      </c>
      <c r="D9" s="1">
        <v>2</v>
      </c>
      <c r="E9" s="1" t="s">
        <v>157</v>
      </c>
      <c r="F9" s="1">
        <v>7</v>
      </c>
      <c r="G9" s="2">
        <v>38</v>
      </c>
      <c r="H9" s="2">
        <v>1</v>
      </c>
      <c r="I9" s="2">
        <v>7757</v>
      </c>
    </row>
    <row r="10" spans="1:9" ht="15.75" x14ac:dyDescent="0.25">
      <c r="A10" s="2">
        <v>4</v>
      </c>
      <c r="B10" s="3">
        <v>46124</v>
      </c>
      <c r="C10" s="1">
        <v>15</v>
      </c>
      <c r="D10" s="1">
        <v>2</v>
      </c>
      <c r="E10" s="1" t="s">
        <v>67</v>
      </c>
      <c r="F10" s="1">
        <v>8</v>
      </c>
      <c r="G10" s="2">
        <v>38</v>
      </c>
      <c r="H10" s="2">
        <v>1</v>
      </c>
      <c r="I10" s="2">
        <v>12340</v>
      </c>
    </row>
    <row r="11" spans="1:9" ht="15.75" x14ac:dyDescent="0.25">
      <c r="A11" s="2">
        <v>4</v>
      </c>
      <c r="B11" s="3">
        <v>46124</v>
      </c>
      <c r="C11" s="1">
        <v>15</v>
      </c>
      <c r="D11" s="1">
        <v>2</v>
      </c>
      <c r="E11" s="1" t="s">
        <v>63</v>
      </c>
      <c r="F11" s="1">
        <v>8</v>
      </c>
      <c r="G11" s="2">
        <v>39</v>
      </c>
      <c r="H11" s="2">
        <v>1</v>
      </c>
      <c r="I11" s="2">
        <v>7130</v>
      </c>
    </row>
    <row r="12" spans="1:9" ht="15.75" x14ac:dyDescent="0.25">
      <c r="A12" s="2">
        <v>4</v>
      </c>
      <c r="B12" s="3">
        <v>46124</v>
      </c>
      <c r="C12" s="1">
        <v>15</v>
      </c>
      <c r="D12" s="1">
        <v>2</v>
      </c>
      <c r="E12" s="1" t="s">
        <v>87</v>
      </c>
      <c r="F12" s="1">
        <v>4</v>
      </c>
      <c r="G12" s="2">
        <v>36</v>
      </c>
      <c r="H12" s="2">
        <v>1</v>
      </c>
      <c r="I12" s="2">
        <v>8765</v>
      </c>
    </row>
    <row r="13" spans="1:9" ht="15.75" x14ac:dyDescent="0.25">
      <c r="A13" s="2">
        <v>4</v>
      </c>
      <c r="B13" s="3">
        <v>46124</v>
      </c>
      <c r="C13" s="1">
        <v>15</v>
      </c>
      <c r="D13" s="1">
        <v>2</v>
      </c>
      <c r="E13" s="1" t="s">
        <v>47</v>
      </c>
      <c r="F13" s="1">
        <v>3</v>
      </c>
      <c r="G13" s="2">
        <v>39</v>
      </c>
      <c r="H13" s="2">
        <v>1</v>
      </c>
      <c r="I13" s="2">
        <v>15000</v>
      </c>
    </row>
    <row r="14" spans="1:9" ht="15.75" x14ac:dyDescent="0.25">
      <c r="A14" s="2">
        <v>5</v>
      </c>
      <c r="B14" s="3">
        <v>46130</v>
      </c>
      <c r="C14" s="1">
        <v>12</v>
      </c>
      <c r="D14" s="1">
        <v>3</v>
      </c>
      <c r="E14" s="1" t="s">
        <v>103</v>
      </c>
      <c r="F14" s="1">
        <v>6</v>
      </c>
      <c r="G14" s="2">
        <v>41</v>
      </c>
      <c r="H14" s="2">
        <v>1</v>
      </c>
      <c r="I14" s="2">
        <v>9567</v>
      </c>
    </row>
    <row r="15" spans="1:9" ht="15.75" x14ac:dyDescent="0.25">
      <c r="A15" s="2">
        <v>5</v>
      </c>
      <c r="B15" s="3">
        <v>46130</v>
      </c>
      <c r="C15" s="1">
        <v>12</v>
      </c>
      <c r="D15" s="1">
        <v>3</v>
      </c>
      <c r="E15" s="1" t="s">
        <v>119</v>
      </c>
      <c r="F15" s="1">
        <v>3</v>
      </c>
      <c r="G15" s="2">
        <v>41</v>
      </c>
      <c r="H15" s="2">
        <v>1</v>
      </c>
      <c r="I15" s="2">
        <v>21500</v>
      </c>
    </row>
    <row r="16" spans="1:9" ht="15.75" x14ac:dyDescent="0.25">
      <c r="A16" s="2">
        <v>5</v>
      </c>
      <c r="B16" s="3">
        <v>46130</v>
      </c>
      <c r="C16" s="1">
        <v>12</v>
      </c>
      <c r="D16" s="1">
        <v>3</v>
      </c>
      <c r="E16" s="1" t="s">
        <v>160</v>
      </c>
      <c r="F16" s="1">
        <v>9</v>
      </c>
      <c r="G16" s="2">
        <v>39</v>
      </c>
      <c r="H16" s="2">
        <v>1</v>
      </c>
      <c r="I16" s="2">
        <v>7890</v>
      </c>
    </row>
    <row r="17" spans="1:9" ht="15.75" x14ac:dyDescent="0.25">
      <c r="A17" s="2">
        <v>6</v>
      </c>
      <c r="B17" s="3">
        <v>46134</v>
      </c>
      <c r="C17" s="1">
        <v>9</v>
      </c>
      <c r="D17" s="1">
        <v>3</v>
      </c>
      <c r="E17" s="1" t="s">
        <v>162</v>
      </c>
      <c r="F17" s="1">
        <v>3</v>
      </c>
      <c r="G17" s="2">
        <v>40</v>
      </c>
      <c r="H17" s="2">
        <v>1</v>
      </c>
      <c r="I17" s="2">
        <v>24569</v>
      </c>
    </row>
    <row r="18" spans="1:9" ht="15.75" x14ac:dyDescent="0.25">
      <c r="A18" s="2">
        <v>6</v>
      </c>
      <c r="B18" s="3">
        <v>46134</v>
      </c>
      <c r="C18" s="1">
        <v>9</v>
      </c>
      <c r="D18" s="1">
        <v>3</v>
      </c>
      <c r="E18" s="1" t="s">
        <v>123</v>
      </c>
      <c r="F18" s="1">
        <v>7</v>
      </c>
      <c r="G18" s="2">
        <v>42</v>
      </c>
      <c r="H18" s="2">
        <v>1</v>
      </c>
      <c r="I18" s="2">
        <v>14567</v>
      </c>
    </row>
    <row r="19" spans="1:9" ht="15.75" x14ac:dyDescent="0.25">
      <c r="A19" s="2">
        <v>6</v>
      </c>
      <c r="B19" s="3">
        <v>46134</v>
      </c>
      <c r="C19" s="1">
        <v>9</v>
      </c>
      <c r="D19" s="1">
        <v>3</v>
      </c>
      <c r="E19" s="1" t="s">
        <v>127</v>
      </c>
      <c r="F19" s="1">
        <v>3</v>
      </c>
      <c r="G19" s="2">
        <v>41</v>
      </c>
      <c r="H19" s="2">
        <v>1</v>
      </c>
      <c r="I19" s="2">
        <v>15670</v>
      </c>
    </row>
    <row r="20" spans="1:9" ht="15.75" x14ac:dyDescent="0.25">
      <c r="A20" s="2">
        <v>7</v>
      </c>
      <c r="B20" s="3">
        <v>46137</v>
      </c>
      <c r="C20" s="1">
        <v>14</v>
      </c>
      <c r="D20" s="1">
        <v>1</v>
      </c>
      <c r="E20" s="1" t="s">
        <v>27</v>
      </c>
      <c r="F20" s="1">
        <v>10</v>
      </c>
      <c r="G20" s="2">
        <v>18</v>
      </c>
      <c r="H20" s="2">
        <v>1</v>
      </c>
      <c r="I20" s="2">
        <v>4290</v>
      </c>
    </row>
    <row r="21" spans="1:9" ht="15.75" x14ac:dyDescent="0.25">
      <c r="A21" s="2">
        <v>7</v>
      </c>
      <c r="B21" s="3">
        <v>46137</v>
      </c>
      <c r="C21" s="1">
        <v>14</v>
      </c>
      <c r="D21" s="1">
        <v>1</v>
      </c>
      <c r="E21" s="1" t="s">
        <v>7</v>
      </c>
      <c r="F21" s="1">
        <v>1</v>
      </c>
      <c r="G21" s="2">
        <v>21</v>
      </c>
      <c r="H21" s="2">
        <v>2</v>
      </c>
      <c r="I21" s="2">
        <v>2190</v>
      </c>
    </row>
    <row r="22" spans="1:9" ht="15.75" x14ac:dyDescent="0.25">
      <c r="A22" s="2">
        <v>7</v>
      </c>
      <c r="B22" s="3">
        <v>46137</v>
      </c>
      <c r="C22" s="1">
        <v>14</v>
      </c>
      <c r="D22" s="1">
        <v>1</v>
      </c>
      <c r="E22" s="1" t="s">
        <v>35</v>
      </c>
      <c r="F22" s="1">
        <v>11</v>
      </c>
      <c r="G22" s="2">
        <v>28</v>
      </c>
      <c r="H22" s="2">
        <v>1</v>
      </c>
      <c r="I22" s="2">
        <v>1690</v>
      </c>
    </row>
    <row r="23" spans="1:9" ht="15.75" x14ac:dyDescent="0.25">
      <c r="A23" s="2">
        <v>8</v>
      </c>
      <c r="B23" s="3">
        <v>46140</v>
      </c>
      <c r="C23" s="1">
        <v>20</v>
      </c>
      <c r="D23" s="1">
        <v>3</v>
      </c>
      <c r="E23" s="1" t="s">
        <v>115</v>
      </c>
      <c r="F23" s="1">
        <v>12</v>
      </c>
      <c r="G23" s="2">
        <v>44</v>
      </c>
      <c r="H23" s="2">
        <v>1</v>
      </c>
      <c r="I23" s="2">
        <v>25625</v>
      </c>
    </row>
    <row r="24" spans="1:9" ht="15.75" x14ac:dyDescent="0.25">
      <c r="A24" s="2">
        <v>8</v>
      </c>
      <c r="B24" s="3">
        <v>46140</v>
      </c>
      <c r="C24" s="1">
        <v>20</v>
      </c>
      <c r="D24" s="1">
        <v>3</v>
      </c>
      <c r="E24" s="1" t="s">
        <v>160</v>
      </c>
      <c r="F24" s="1">
        <v>9</v>
      </c>
      <c r="G24" s="2">
        <v>40</v>
      </c>
      <c r="H24" s="2">
        <v>3</v>
      </c>
      <c r="I24" s="2">
        <v>7890</v>
      </c>
    </row>
    <row r="25" spans="1:9" ht="15.75" x14ac:dyDescent="0.25">
      <c r="A25" s="2">
        <v>8</v>
      </c>
      <c r="B25" s="3">
        <v>46140</v>
      </c>
      <c r="C25" s="1">
        <v>20</v>
      </c>
      <c r="D25" s="1">
        <v>3</v>
      </c>
      <c r="E25" s="1" t="s">
        <v>95</v>
      </c>
      <c r="F25" s="1">
        <v>9</v>
      </c>
      <c r="G25" s="2">
        <v>43</v>
      </c>
      <c r="H25" s="2">
        <v>2</v>
      </c>
      <c r="I25" s="2">
        <v>6550</v>
      </c>
    </row>
    <row r="26" spans="1:9" ht="15.75" x14ac:dyDescent="0.25">
      <c r="A26" s="2">
        <v>9</v>
      </c>
      <c r="B26" s="3">
        <v>46147</v>
      </c>
      <c r="C26" s="1">
        <v>5</v>
      </c>
      <c r="D26" s="1">
        <v>1</v>
      </c>
      <c r="E26" s="1" t="s">
        <v>11</v>
      </c>
      <c r="F26" s="1">
        <v>6</v>
      </c>
      <c r="G26" s="2">
        <v>33</v>
      </c>
      <c r="H26" s="2">
        <v>1</v>
      </c>
      <c r="I26" s="2">
        <v>2490</v>
      </c>
    </row>
    <row r="27" spans="1:9" ht="15.75" x14ac:dyDescent="0.25">
      <c r="A27" s="2">
        <v>9</v>
      </c>
      <c r="B27" s="3">
        <v>46147</v>
      </c>
      <c r="C27" s="1">
        <v>5</v>
      </c>
      <c r="D27" s="1">
        <v>1</v>
      </c>
      <c r="E27" s="1" t="s">
        <v>23</v>
      </c>
      <c r="F27" s="1">
        <v>13</v>
      </c>
      <c r="G27" s="2">
        <v>22</v>
      </c>
      <c r="H27" s="2">
        <v>2</v>
      </c>
      <c r="I27" s="2">
        <v>3190</v>
      </c>
    </row>
    <row r="28" spans="1:9" ht="15.75" x14ac:dyDescent="0.25">
      <c r="A28" s="2">
        <v>10</v>
      </c>
      <c r="B28" s="3">
        <v>46150</v>
      </c>
      <c r="C28" s="1">
        <v>17</v>
      </c>
      <c r="D28" s="1">
        <v>2</v>
      </c>
      <c r="E28" s="1" t="s">
        <v>75</v>
      </c>
      <c r="F28" s="1">
        <v>4</v>
      </c>
      <c r="G28" s="2">
        <v>35</v>
      </c>
      <c r="H28" s="2">
        <v>1</v>
      </c>
      <c r="I28" s="2">
        <v>7550</v>
      </c>
    </row>
    <row r="29" spans="1:9" ht="15.75" x14ac:dyDescent="0.25">
      <c r="A29" s="2">
        <v>10</v>
      </c>
      <c r="B29" s="3">
        <v>46150</v>
      </c>
      <c r="C29" s="1">
        <v>17</v>
      </c>
      <c r="D29" s="1">
        <v>2</v>
      </c>
      <c r="E29" s="1" t="s">
        <v>63</v>
      </c>
      <c r="F29" s="1">
        <v>8</v>
      </c>
      <c r="G29" s="2">
        <v>37</v>
      </c>
      <c r="H29" s="2">
        <v>1</v>
      </c>
      <c r="I29" s="2">
        <v>7130</v>
      </c>
    </row>
    <row r="30" spans="1:9" ht="15.75" x14ac:dyDescent="0.25">
      <c r="A30" s="2">
        <v>10</v>
      </c>
      <c r="B30" s="3">
        <v>46150</v>
      </c>
      <c r="C30" s="1">
        <v>17</v>
      </c>
      <c r="D30" s="1">
        <v>2</v>
      </c>
      <c r="E30" s="1" t="s">
        <v>67</v>
      </c>
      <c r="F30" s="1">
        <v>8</v>
      </c>
      <c r="G30" s="2">
        <v>36</v>
      </c>
      <c r="H30" s="2">
        <v>1</v>
      </c>
      <c r="I30" s="2">
        <v>12340</v>
      </c>
    </row>
    <row r="31" spans="1:9" ht="15.75" x14ac:dyDescent="0.25">
      <c r="A31" s="2">
        <v>10</v>
      </c>
      <c r="B31" s="3">
        <v>46150</v>
      </c>
      <c r="C31" s="1">
        <v>17</v>
      </c>
      <c r="D31" s="1">
        <v>2</v>
      </c>
      <c r="E31" s="1" t="s">
        <v>87</v>
      </c>
      <c r="F31" s="1">
        <v>4</v>
      </c>
      <c r="G31" s="2">
        <v>35</v>
      </c>
      <c r="H31" s="2">
        <v>2</v>
      </c>
      <c r="I31" s="2">
        <v>8765</v>
      </c>
    </row>
    <row r="35" spans="1:14" ht="15.75" x14ac:dyDescent="0.25">
      <c r="A35" s="1" t="s">
        <v>179</v>
      </c>
      <c r="B35" s="1" t="s">
        <v>180</v>
      </c>
      <c r="C35" s="1" t="s">
        <v>181</v>
      </c>
      <c r="D35" s="1" t="str">
        <f>A35&amp;" " &amp; B35 &amp; " " &amp; C35</f>
        <v>Иванов Иван Сергеевич</v>
      </c>
      <c r="E35">
        <v>1</v>
      </c>
      <c r="F35" s="1" t="s">
        <v>152</v>
      </c>
      <c r="G35">
        <f>MATCH(F35,$I$35:$I$37,0)</f>
        <v>1</v>
      </c>
      <c r="I35" s="1" t="s">
        <v>152</v>
      </c>
      <c r="M35">
        <f>MATCH(N35,$D$35:$D$54,0)</f>
        <v>3</v>
      </c>
      <c r="N35" s="1" t="s">
        <v>151</v>
      </c>
    </row>
    <row r="36" spans="1:14" ht="15.75" x14ac:dyDescent="0.25">
      <c r="A36" s="1" t="s">
        <v>184</v>
      </c>
      <c r="B36" s="1" t="s">
        <v>185</v>
      </c>
      <c r="C36" s="1" t="s">
        <v>186</v>
      </c>
      <c r="D36" s="1" t="str">
        <f t="shared" ref="D36:D54" si="0">A36&amp;" " &amp; B36 &amp; " " &amp; C36</f>
        <v>Петров Пётр Алексеевич</v>
      </c>
      <c r="E36">
        <v>2</v>
      </c>
      <c r="F36" s="1" t="s">
        <v>152</v>
      </c>
      <c r="G36">
        <f t="shared" ref="G36:G64" si="1">MATCH(F36,$I$35:$I$37,0)</f>
        <v>1</v>
      </c>
      <c r="I36" s="1" t="s">
        <v>154</v>
      </c>
      <c r="M36">
        <f t="shared" ref="M36:M64" si="2">MATCH(N36,$D$35:$D$54,0)</f>
        <v>3</v>
      </c>
      <c r="N36" s="1" t="s">
        <v>151</v>
      </c>
    </row>
    <row r="37" spans="1:14" ht="15.75" x14ac:dyDescent="0.25">
      <c r="A37" s="1" t="s">
        <v>189</v>
      </c>
      <c r="B37" s="1" t="s">
        <v>190</v>
      </c>
      <c r="C37" s="1" t="s">
        <v>191</v>
      </c>
      <c r="D37" s="1" t="str">
        <f t="shared" si="0"/>
        <v>Сидорова Анна Дмитриевна</v>
      </c>
      <c r="E37">
        <v>3</v>
      </c>
      <c r="F37" s="1" t="s">
        <v>154</v>
      </c>
      <c r="G37">
        <f t="shared" si="1"/>
        <v>2</v>
      </c>
      <c r="I37" s="1" t="s">
        <v>159</v>
      </c>
      <c r="M37">
        <f t="shared" si="2"/>
        <v>17</v>
      </c>
      <c r="N37" s="1" t="s">
        <v>153</v>
      </c>
    </row>
    <row r="38" spans="1:14" ht="15.75" x14ac:dyDescent="0.25">
      <c r="A38" s="1" t="s">
        <v>194</v>
      </c>
      <c r="B38" s="1" t="s">
        <v>195</v>
      </c>
      <c r="C38" s="1" t="s">
        <v>196</v>
      </c>
      <c r="D38" s="1" t="str">
        <f t="shared" si="0"/>
        <v>Кузнецова Екатерина Андреевна</v>
      </c>
      <c r="E38">
        <v>4</v>
      </c>
      <c r="F38" s="1" t="s">
        <v>154</v>
      </c>
      <c r="G38">
        <f t="shared" si="1"/>
        <v>2</v>
      </c>
      <c r="M38">
        <f t="shared" si="2"/>
        <v>17</v>
      </c>
      <c r="N38" s="1" t="s">
        <v>153</v>
      </c>
    </row>
    <row r="39" spans="1:14" ht="15.75" x14ac:dyDescent="0.25">
      <c r="A39" s="1" t="s">
        <v>198</v>
      </c>
      <c r="B39" s="1" t="s">
        <v>199</v>
      </c>
      <c r="C39" s="1" t="s">
        <v>200</v>
      </c>
      <c r="D39" s="1" t="str">
        <f t="shared" si="0"/>
        <v>Смирнов Дмитрий Владимирович</v>
      </c>
      <c r="E39">
        <v>5</v>
      </c>
      <c r="F39" s="1" t="s">
        <v>154</v>
      </c>
      <c r="G39">
        <f t="shared" si="1"/>
        <v>2</v>
      </c>
      <c r="M39">
        <f t="shared" si="2"/>
        <v>7</v>
      </c>
      <c r="N39" s="1" t="s">
        <v>155</v>
      </c>
    </row>
    <row r="40" spans="1:14" ht="15.75" x14ac:dyDescent="0.25">
      <c r="A40" s="1" t="s">
        <v>202</v>
      </c>
      <c r="B40" s="1" t="s">
        <v>203</v>
      </c>
      <c r="C40" s="1" t="s">
        <v>204</v>
      </c>
      <c r="D40" s="1" t="str">
        <f t="shared" si="0"/>
        <v>Попов Алексей Николаевич</v>
      </c>
      <c r="E40">
        <v>6</v>
      </c>
      <c r="F40" s="1" t="s">
        <v>154</v>
      </c>
      <c r="G40">
        <f t="shared" si="1"/>
        <v>2</v>
      </c>
      <c r="M40">
        <f t="shared" si="2"/>
        <v>7</v>
      </c>
      <c r="N40" s="1" t="s">
        <v>155</v>
      </c>
    </row>
    <row r="41" spans="1:14" ht="15.75" x14ac:dyDescent="0.25">
      <c r="A41" s="1" t="s">
        <v>206</v>
      </c>
      <c r="B41" s="1" t="s">
        <v>207</v>
      </c>
      <c r="C41" s="1" t="s">
        <v>208</v>
      </c>
      <c r="D41" s="1" t="str">
        <f t="shared" si="0"/>
        <v>Васильева Ольга Игоревна</v>
      </c>
      <c r="E41">
        <v>7</v>
      </c>
      <c r="F41" s="1" t="s">
        <v>154</v>
      </c>
      <c r="G41">
        <f t="shared" si="1"/>
        <v>2</v>
      </c>
      <c r="M41">
        <f t="shared" si="2"/>
        <v>7</v>
      </c>
      <c r="N41" s="1" t="s">
        <v>155</v>
      </c>
    </row>
    <row r="42" spans="1:14" ht="15.75" x14ac:dyDescent="0.25">
      <c r="A42" s="1" t="s">
        <v>210</v>
      </c>
      <c r="B42" s="1" t="s">
        <v>211</v>
      </c>
      <c r="C42" s="1" t="s">
        <v>212</v>
      </c>
      <c r="D42" s="1" t="str">
        <f t="shared" si="0"/>
        <v>Соколов Павел Викторович</v>
      </c>
      <c r="E42">
        <v>8</v>
      </c>
      <c r="F42" s="1" t="s">
        <v>154</v>
      </c>
      <c r="G42">
        <f t="shared" si="1"/>
        <v>2</v>
      </c>
      <c r="M42">
        <f t="shared" si="2"/>
        <v>15</v>
      </c>
      <c r="N42" s="1" t="s">
        <v>156</v>
      </c>
    </row>
    <row r="43" spans="1:14" ht="15.75" x14ac:dyDescent="0.25">
      <c r="A43" s="1" t="s">
        <v>214</v>
      </c>
      <c r="B43" s="1" t="s">
        <v>215</v>
      </c>
      <c r="C43" s="1" t="s">
        <v>216</v>
      </c>
      <c r="D43" s="1" t="str">
        <f t="shared" si="0"/>
        <v>Михайлова Татьяна Юрьевна</v>
      </c>
      <c r="E43">
        <v>9</v>
      </c>
      <c r="F43" s="1" t="s">
        <v>154</v>
      </c>
      <c r="G43">
        <f t="shared" si="1"/>
        <v>2</v>
      </c>
      <c r="M43">
        <f t="shared" si="2"/>
        <v>15</v>
      </c>
      <c r="N43" s="1" t="s">
        <v>156</v>
      </c>
    </row>
    <row r="44" spans="1:14" ht="15.75" x14ac:dyDescent="0.25">
      <c r="A44" s="1" t="s">
        <v>218</v>
      </c>
      <c r="B44" s="1" t="s">
        <v>219</v>
      </c>
      <c r="C44" s="1" t="s">
        <v>220</v>
      </c>
      <c r="D44" s="1" t="str">
        <f t="shared" si="0"/>
        <v>Новикова Наталья Сергеевна</v>
      </c>
      <c r="E44">
        <v>10</v>
      </c>
      <c r="F44" s="1" t="s">
        <v>154</v>
      </c>
      <c r="G44">
        <f t="shared" si="1"/>
        <v>2</v>
      </c>
      <c r="M44">
        <f t="shared" si="2"/>
        <v>15</v>
      </c>
      <c r="N44" s="1" t="s">
        <v>156</v>
      </c>
    </row>
    <row r="45" spans="1:14" ht="15.75" x14ac:dyDescent="0.25">
      <c r="A45" s="1" t="s">
        <v>222</v>
      </c>
      <c r="B45" s="1" t="s">
        <v>223</v>
      </c>
      <c r="C45" s="1" t="s">
        <v>224</v>
      </c>
      <c r="D45" s="1" t="str">
        <f t="shared" si="0"/>
        <v>Фёдоров Андрей Максимович</v>
      </c>
      <c r="E45">
        <v>11</v>
      </c>
      <c r="F45" s="1" t="s">
        <v>154</v>
      </c>
      <c r="G45">
        <f t="shared" si="1"/>
        <v>2</v>
      </c>
      <c r="M45">
        <f t="shared" si="2"/>
        <v>15</v>
      </c>
      <c r="N45" s="1" t="s">
        <v>156</v>
      </c>
    </row>
    <row r="46" spans="1:14" ht="15.75" x14ac:dyDescent="0.25">
      <c r="A46" s="1" t="s">
        <v>226</v>
      </c>
      <c r="B46" s="1" t="s">
        <v>227</v>
      </c>
      <c r="C46" s="1" t="s">
        <v>228</v>
      </c>
      <c r="D46" s="1" t="str">
        <f t="shared" si="0"/>
        <v>Морозов Сергей Павлович</v>
      </c>
      <c r="E46">
        <v>12</v>
      </c>
      <c r="F46" s="1" t="s">
        <v>154</v>
      </c>
      <c r="G46">
        <f t="shared" si="1"/>
        <v>2</v>
      </c>
      <c r="M46">
        <f t="shared" si="2"/>
        <v>15</v>
      </c>
      <c r="N46" s="1" t="s">
        <v>156</v>
      </c>
    </row>
    <row r="47" spans="1:14" ht="15.75" x14ac:dyDescent="0.25">
      <c r="A47" s="1" t="s">
        <v>230</v>
      </c>
      <c r="B47" s="1" t="s">
        <v>231</v>
      </c>
      <c r="C47" s="1" t="s">
        <v>232</v>
      </c>
      <c r="D47" s="1" t="str">
        <f t="shared" si="0"/>
        <v>Волкова Юлия Александровна</v>
      </c>
      <c r="E47">
        <v>13</v>
      </c>
      <c r="F47" s="1" t="s">
        <v>159</v>
      </c>
      <c r="G47">
        <f t="shared" si="1"/>
        <v>3</v>
      </c>
      <c r="M47">
        <f t="shared" si="2"/>
        <v>12</v>
      </c>
      <c r="N47" s="1" t="s">
        <v>158</v>
      </c>
    </row>
    <row r="48" spans="1:14" ht="15.75" x14ac:dyDescent="0.25">
      <c r="A48" s="1" t="s">
        <v>234</v>
      </c>
      <c r="B48" s="1" t="s">
        <v>235</v>
      </c>
      <c r="C48" s="1" t="s">
        <v>236</v>
      </c>
      <c r="D48" s="1" t="str">
        <f t="shared" si="0"/>
        <v>Алексеев Артём Евгеньевич</v>
      </c>
      <c r="E48">
        <v>14</v>
      </c>
      <c r="F48" s="1" t="s">
        <v>159</v>
      </c>
      <c r="G48">
        <f t="shared" si="1"/>
        <v>3</v>
      </c>
      <c r="M48">
        <f t="shared" si="2"/>
        <v>12</v>
      </c>
      <c r="N48" s="1" t="s">
        <v>158</v>
      </c>
    </row>
    <row r="49" spans="1:14" ht="15.75" x14ac:dyDescent="0.25">
      <c r="A49" s="1" t="s">
        <v>238</v>
      </c>
      <c r="B49" s="1" t="s">
        <v>239</v>
      </c>
      <c r="C49" s="1" t="s">
        <v>240</v>
      </c>
      <c r="D49" s="1" t="str">
        <f t="shared" si="0"/>
        <v>Лебедева Ирина Владимировна</v>
      </c>
      <c r="E49">
        <v>15</v>
      </c>
      <c r="F49" s="1" t="s">
        <v>159</v>
      </c>
      <c r="G49">
        <f t="shared" si="1"/>
        <v>3</v>
      </c>
      <c r="M49">
        <f t="shared" si="2"/>
        <v>12</v>
      </c>
      <c r="N49" s="1" t="s">
        <v>158</v>
      </c>
    </row>
    <row r="50" spans="1:14" ht="15.75" x14ac:dyDescent="0.25">
      <c r="A50" s="1" t="s">
        <v>242</v>
      </c>
      <c r="B50" s="1" t="s">
        <v>243</v>
      </c>
      <c r="C50" s="1" t="s">
        <v>244</v>
      </c>
      <c r="D50" s="1" t="str">
        <f t="shared" si="0"/>
        <v>Егоров Никита Денисович</v>
      </c>
      <c r="E50">
        <v>16</v>
      </c>
      <c r="F50" s="1" t="s">
        <v>159</v>
      </c>
      <c r="G50">
        <f t="shared" si="1"/>
        <v>3</v>
      </c>
      <c r="M50">
        <f t="shared" si="2"/>
        <v>9</v>
      </c>
      <c r="N50" s="1" t="s">
        <v>161</v>
      </c>
    </row>
    <row r="51" spans="1:14" ht="15.75" x14ac:dyDescent="0.25">
      <c r="A51" s="1" t="s">
        <v>246</v>
      </c>
      <c r="B51" s="1" t="s">
        <v>247</v>
      </c>
      <c r="C51" s="1" t="s">
        <v>248</v>
      </c>
      <c r="D51" s="1" t="str">
        <f t="shared" si="0"/>
        <v>Павлова Елена Петровна</v>
      </c>
      <c r="E51">
        <v>17</v>
      </c>
      <c r="F51" s="1" t="s">
        <v>159</v>
      </c>
      <c r="G51">
        <f t="shared" si="1"/>
        <v>3</v>
      </c>
      <c r="M51">
        <f t="shared" si="2"/>
        <v>9</v>
      </c>
      <c r="N51" s="1" t="s">
        <v>161</v>
      </c>
    </row>
    <row r="52" spans="1:14" ht="15.75" x14ac:dyDescent="0.25">
      <c r="A52" s="1" t="s">
        <v>250</v>
      </c>
      <c r="B52" s="1" t="s">
        <v>251</v>
      </c>
      <c r="C52" s="1" t="s">
        <v>252</v>
      </c>
      <c r="D52" s="1" t="str">
        <f t="shared" si="0"/>
        <v>Козлов Роман Олегович</v>
      </c>
      <c r="E52">
        <v>18</v>
      </c>
      <c r="F52" s="1" t="s">
        <v>159</v>
      </c>
      <c r="G52">
        <f t="shared" si="1"/>
        <v>3</v>
      </c>
      <c r="M52">
        <f t="shared" si="2"/>
        <v>9</v>
      </c>
      <c r="N52" s="1" t="s">
        <v>161</v>
      </c>
    </row>
    <row r="53" spans="1:14" ht="15.75" x14ac:dyDescent="0.25">
      <c r="A53" s="1" t="s">
        <v>254</v>
      </c>
      <c r="B53" s="1" t="s">
        <v>255</v>
      </c>
      <c r="C53" s="1" t="s">
        <v>256</v>
      </c>
      <c r="D53" s="1" t="str">
        <f t="shared" si="0"/>
        <v>Степанова Виктория Романовна</v>
      </c>
      <c r="E53">
        <v>19</v>
      </c>
      <c r="F53" s="1" t="s">
        <v>152</v>
      </c>
      <c r="G53">
        <f t="shared" si="1"/>
        <v>1</v>
      </c>
      <c r="M53">
        <f t="shared" si="2"/>
        <v>14</v>
      </c>
      <c r="N53" s="1" t="s">
        <v>163</v>
      </c>
    </row>
    <row r="54" spans="1:14" ht="15.75" x14ac:dyDescent="0.25">
      <c r="A54" s="1" t="s">
        <v>258</v>
      </c>
      <c r="B54" s="1" t="s">
        <v>259</v>
      </c>
      <c r="C54" s="1" t="s">
        <v>260</v>
      </c>
      <c r="D54" s="1" t="str">
        <f t="shared" si="0"/>
        <v>Николаев Владимир Иванович</v>
      </c>
      <c r="E54">
        <v>20</v>
      </c>
      <c r="F54" s="1" t="s">
        <v>152</v>
      </c>
      <c r="G54">
        <f t="shared" si="1"/>
        <v>1</v>
      </c>
      <c r="M54">
        <f t="shared" si="2"/>
        <v>14</v>
      </c>
      <c r="N54" s="1" t="s">
        <v>163</v>
      </c>
    </row>
    <row r="55" spans="1:14" ht="15.75" x14ac:dyDescent="0.25">
      <c r="A55" s="1"/>
      <c r="F55" s="1" t="s">
        <v>152</v>
      </c>
      <c r="G55">
        <f t="shared" si="1"/>
        <v>1</v>
      </c>
      <c r="M55">
        <f t="shared" si="2"/>
        <v>14</v>
      </c>
      <c r="N55" s="1" t="s">
        <v>163</v>
      </c>
    </row>
    <row r="56" spans="1:14" ht="15.75" x14ac:dyDescent="0.25">
      <c r="A56" s="1"/>
      <c r="F56" s="1" t="s">
        <v>159</v>
      </c>
      <c r="G56">
        <f t="shared" si="1"/>
        <v>3</v>
      </c>
      <c r="M56">
        <f t="shared" si="2"/>
        <v>20</v>
      </c>
      <c r="N56" s="1" t="s">
        <v>164</v>
      </c>
    </row>
    <row r="57" spans="1:14" ht="15.75" x14ac:dyDescent="0.25">
      <c r="A57" s="1"/>
      <c r="F57" s="1" t="s">
        <v>159</v>
      </c>
      <c r="G57">
        <f t="shared" si="1"/>
        <v>3</v>
      </c>
      <c r="M57">
        <f t="shared" si="2"/>
        <v>20</v>
      </c>
      <c r="N57" s="1" t="s">
        <v>164</v>
      </c>
    </row>
    <row r="58" spans="1:14" ht="15.75" x14ac:dyDescent="0.25">
      <c r="A58" s="1"/>
      <c r="F58" s="1" t="s">
        <v>159</v>
      </c>
      <c r="G58">
        <f t="shared" si="1"/>
        <v>3</v>
      </c>
      <c r="M58">
        <f t="shared" si="2"/>
        <v>20</v>
      </c>
      <c r="N58" s="1" t="s">
        <v>164</v>
      </c>
    </row>
    <row r="59" spans="1:14" ht="15.75" x14ac:dyDescent="0.25">
      <c r="A59" s="1"/>
      <c r="F59" s="1" t="s">
        <v>152</v>
      </c>
      <c r="G59">
        <f t="shared" si="1"/>
        <v>1</v>
      </c>
      <c r="M59">
        <f t="shared" si="2"/>
        <v>5</v>
      </c>
      <c r="N59" s="1" t="s">
        <v>165</v>
      </c>
    </row>
    <row r="60" spans="1:14" ht="15.75" x14ac:dyDescent="0.25">
      <c r="A60" s="1"/>
      <c r="F60" s="1" t="s">
        <v>152</v>
      </c>
      <c r="G60">
        <f t="shared" si="1"/>
        <v>1</v>
      </c>
      <c r="M60">
        <f t="shared" si="2"/>
        <v>5</v>
      </c>
      <c r="N60" s="1" t="s">
        <v>165</v>
      </c>
    </row>
    <row r="61" spans="1:14" ht="15.75" x14ac:dyDescent="0.25">
      <c r="A61" s="1"/>
      <c r="F61" s="1" t="s">
        <v>154</v>
      </c>
      <c r="G61">
        <f t="shared" si="1"/>
        <v>2</v>
      </c>
      <c r="M61">
        <f t="shared" si="2"/>
        <v>17</v>
      </c>
      <c r="N61" s="1" t="s">
        <v>153</v>
      </c>
    </row>
    <row r="62" spans="1:14" ht="15.75" x14ac:dyDescent="0.25">
      <c r="A62" s="1"/>
      <c r="F62" s="1" t="s">
        <v>154</v>
      </c>
      <c r="G62">
        <f t="shared" si="1"/>
        <v>2</v>
      </c>
      <c r="M62">
        <f t="shared" si="2"/>
        <v>17</v>
      </c>
      <c r="N62" s="1" t="s">
        <v>153</v>
      </c>
    </row>
    <row r="63" spans="1:14" ht="15.75" x14ac:dyDescent="0.25">
      <c r="A63" s="1"/>
      <c r="F63" s="1" t="s">
        <v>154</v>
      </c>
      <c r="G63">
        <f t="shared" si="1"/>
        <v>2</v>
      </c>
      <c r="M63">
        <f t="shared" si="2"/>
        <v>17</v>
      </c>
      <c r="N63" s="1" t="s">
        <v>153</v>
      </c>
    </row>
    <row r="64" spans="1:14" ht="15.75" x14ac:dyDescent="0.25">
      <c r="A64" s="1"/>
      <c r="F64" s="1" t="s">
        <v>154</v>
      </c>
      <c r="G64">
        <f t="shared" si="1"/>
        <v>2</v>
      </c>
      <c r="M64">
        <f t="shared" si="2"/>
        <v>17</v>
      </c>
      <c r="N64" s="1" t="s">
        <v>153</v>
      </c>
    </row>
    <row r="69" spans="1:9" ht="15.75" x14ac:dyDescent="0.25">
      <c r="F69" s="4">
        <v>18</v>
      </c>
      <c r="G69">
        <v>1</v>
      </c>
      <c r="H69">
        <f>MATCH(I69,$F$69:$F$103,0)</f>
        <v>3</v>
      </c>
      <c r="I69" s="2">
        <v>20</v>
      </c>
    </row>
    <row r="70" spans="1:9" ht="15.75" x14ac:dyDescent="0.25">
      <c r="A70" s="1" t="s">
        <v>130</v>
      </c>
      <c r="B70">
        <f>MATCH(A70,$D$70:$D$82,0)</f>
        <v>1</v>
      </c>
      <c r="D70" s="1" t="s">
        <v>130</v>
      </c>
      <c r="F70" s="4">
        <v>19</v>
      </c>
      <c r="G70">
        <v>2</v>
      </c>
      <c r="H70">
        <f t="shared" ref="H70:H98" si="3">MATCH(I70,$F$69:$F$103,0)</f>
        <v>5</v>
      </c>
      <c r="I70" s="2">
        <v>22</v>
      </c>
    </row>
    <row r="71" spans="1:9" ht="15.75" x14ac:dyDescent="0.25">
      <c r="A71" s="1" t="s">
        <v>136</v>
      </c>
      <c r="B71">
        <f t="shared" ref="B71:B99" si="4">MATCH(A71,$D$70:$D$82,0)</f>
        <v>2</v>
      </c>
      <c r="D71" s="1" t="s">
        <v>136</v>
      </c>
      <c r="F71" s="4">
        <v>20</v>
      </c>
      <c r="G71">
        <v>3</v>
      </c>
      <c r="H71">
        <f t="shared" si="3"/>
        <v>19</v>
      </c>
      <c r="I71" s="2">
        <v>36</v>
      </c>
    </row>
    <row r="72" spans="1:9" ht="15.75" x14ac:dyDescent="0.25">
      <c r="A72" s="1" t="s">
        <v>139</v>
      </c>
      <c r="B72">
        <f t="shared" si="4"/>
        <v>3</v>
      </c>
      <c r="D72" s="1" t="s">
        <v>139</v>
      </c>
      <c r="F72" s="4">
        <v>21</v>
      </c>
      <c r="G72">
        <v>4</v>
      </c>
      <c r="H72">
        <f t="shared" si="3"/>
        <v>23</v>
      </c>
      <c r="I72" s="2">
        <v>38</v>
      </c>
    </row>
    <row r="73" spans="1:9" ht="15.75" x14ac:dyDescent="0.25">
      <c r="A73" s="1" t="s">
        <v>141</v>
      </c>
      <c r="B73">
        <f t="shared" si="4"/>
        <v>4</v>
      </c>
      <c r="D73" s="1" t="s">
        <v>141</v>
      </c>
      <c r="F73" s="4">
        <v>22</v>
      </c>
      <c r="G73">
        <v>5</v>
      </c>
      <c r="H73">
        <f t="shared" si="3"/>
        <v>21</v>
      </c>
      <c r="I73" s="2">
        <v>37</v>
      </c>
    </row>
    <row r="74" spans="1:9" ht="15.75" x14ac:dyDescent="0.25">
      <c r="A74" s="1" t="s">
        <v>140</v>
      </c>
      <c r="B74">
        <f t="shared" si="4"/>
        <v>5</v>
      </c>
      <c r="D74" s="1" t="s">
        <v>140</v>
      </c>
      <c r="F74" s="4">
        <v>23</v>
      </c>
      <c r="G74">
        <v>6</v>
      </c>
      <c r="H74">
        <f t="shared" si="3"/>
        <v>21</v>
      </c>
      <c r="I74" s="2">
        <v>37</v>
      </c>
    </row>
    <row r="75" spans="1:9" ht="15.75" x14ac:dyDescent="0.25">
      <c r="A75" s="1" t="s">
        <v>131</v>
      </c>
      <c r="B75">
        <f t="shared" si="4"/>
        <v>6</v>
      </c>
      <c r="D75" s="1" t="s">
        <v>131</v>
      </c>
      <c r="F75" s="4">
        <v>24</v>
      </c>
      <c r="G75">
        <v>7</v>
      </c>
      <c r="H75">
        <f t="shared" si="3"/>
        <v>18</v>
      </c>
      <c r="I75" s="2">
        <v>35</v>
      </c>
    </row>
    <row r="76" spans="1:9" ht="15.75" x14ac:dyDescent="0.25">
      <c r="A76" s="1" t="s">
        <v>141</v>
      </c>
      <c r="B76">
        <f t="shared" si="4"/>
        <v>4</v>
      </c>
      <c r="D76" s="1" t="s">
        <v>142</v>
      </c>
      <c r="F76" s="4">
        <v>25</v>
      </c>
      <c r="G76">
        <v>8</v>
      </c>
      <c r="H76">
        <f t="shared" si="3"/>
        <v>23</v>
      </c>
      <c r="I76" s="2">
        <v>38</v>
      </c>
    </row>
    <row r="77" spans="1:9" ht="15.75" x14ac:dyDescent="0.25">
      <c r="A77" s="1" t="s">
        <v>142</v>
      </c>
      <c r="B77">
        <f t="shared" si="4"/>
        <v>7</v>
      </c>
      <c r="D77" s="1" t="s">
        <v>143</v>
      </c>
      <c r="F77" s="4">
        <v>26</v>
      </c>
      <c r="G77">
        <v>9</v>
      </c>
      <c r="H77">
        <f t="shared" si="3"/>
        <v>23</v>
      </c>
      <c r="I77" s="2">
        <v>38</v>
      </c>
    </row>
    <row r="78" spans="1:9" ht="15.75" x14ac:dyDescent="0.25">
      <c r="A78" s="1" t="s">
        <v>143</v>
      </c>
      <c r="B78">
        <f t="shared" si="4"/>
        <v>8</v>
      </c>
      <c r="D78" s="1" t="s">
        <v>144</v>
      </c>
      <c r="F78" s="4">
        <v>27</v>
      </c>
      <c r="G78">
        <v>10</v>
      </c>
      <c r="H78">
        <f t="shared" si="3"/>
        <v>25</v>
      </c>
      <c r="I78" s="2">
        <v>39</v>
      </c>
    </row>
    <row r="79" spans="1:9" ht="15.75" x14ac:dyDescent="0.25">
      <c r="A79" s="1" t="s">
        <v>143</v>
      </c>
      <c r="B79">
        <f t="shared" si="4"/>
        <v>8</v>
      </c>
      <c r="D79" s="1" t="s">
        <v>135</v>
      </c>
      <c r="F79" s="4">
        <v>28</v>
      </c>
      <c r="G79">
        <v>11</v>
      </c>
      <c r="H79">
        <f t="shared" si="3"/>
        <v>19</v>
      </c>
      <c r="I79" s="2">
        <v>36</v>
      </c>
    </row>
    <row r="80" spans="1:9" ht="15.75" x14ac:dyDescent="0.25">
      <c r="A80" s="1" t="s">
        <v>141</v>
      </c>
      <c r="B80">
        <f t="shared" si="4"/>
        <v>4</v>
      </c>
      <c r="D80" s="1" t="s">
        <v>137</v>
      </c>
      <c r="F80" s="4">
        <v>29</v>
      </c>
      <c r="G80">
        <v>12</v>
      </c>
      <c r="H80">
        <f t="shared" si="3"/>
        <v>25</v>
      </c>
      <c r="I80" s="2">
        <v>39</v>
      </c>
    </row>
    <row r="81" spans="1:9" ht="15.75" x14ac:dyDescent="0.25">
      <c r="A81" s="1" t="s">
        <v>139</v>
      </c>
      <c r="B81">
        <f t="shared" si="4"/>
        <v>3</v>
      </c>
      <c r="D81" s="1" t="s">
        <v>145</v>
      </c>
      <c r="F81" s="4">
        <v>30</v>
      </c>
      <c r="G81">
        <v>13</v>
      </c>
      <c r="H81">
        <f t="shared" si="3"/>
        <v>29</v>
      </c>
      <c r="I81" s="2">
        <v>41</v>
      </c>
    </row>
    <row r="82" spans="1:9" ht="15.75" x14ac:dyDescent="0.25">
      <c r="A82" s="1" t="s">
        <v>131</v>
      </c>
      <c r="B82">
        <f t="shared" si="4"/>
        <v>6</v>
      </c>
      <c r="D82" s="1" t="s">
        <v>134</v>
      </c>
      <c r="F82" s="4">
        <v>31</v>
      </c>
      <c r="G82">
        <v>14</v>
      </c>
      <c r="H82">
        <f t="shared" si="3"/>
        <v>29</v>
      </c>
      <c r="I82" s="2">
        <v>41</v>
      </c>
    </row>
    <row r="83" spans="1:9" ht="15.75" x14ac:dyDescent="0.25">
      <c r="A83" s="1" t="s">
        <v>139</v>
      </c>
      <c r="B83">
        <f t="shared" si="4"/>
        <v>3</v>
      </c>
      <c r="F83" s="4">
        <v>32</v>
      </c>
      <c r="G83">
        <v>15</v>
      </c>
      <c r="H83">
        <f t="shared" si="3"/>
        <v>25</v>
      </c>
      <c r="I83" s="2">
        <v>39</v>
      </c>
    </row>
    <row r="84" spans="1:9" ht="15.75" x14ac:dyDescent="0.25">
      <c r="A84" s="1" t="s">
        <v>144</v>
      </c>
      <c r="B84">
        <f t="shared" si="4"/>
        <v>9</v>
      </c>
      <c r="F84" s="4">
        <v>33</v>
      </c>
      <c r="G84">
        <v>16</v>
      </c>
      <c r="H84">
        <f t="shared" si="3"/>
        <v>27</v>
      </c>
      <c r="I84" s="2">
        <v>40</v>
      </c>
    </row>
    <row r="85" spans="1:9" ht="15.75" x14ac:dyDescent="0.25">
      <c r="A85" s="1" t="s">
        <v>139</v>
      </c>
      <c r="B85">
        <f t="shared" si="4"/>
        <v>3</v>
      </c>
      <c r="F85" s="4">
        <v>34</v>
      </c>
      <c r="G85">
        <v>17</v>
      </c>
      <c r="H85">
        <f t="shared" si="3"/>
        <v>31</v>
      </c>
      <c r="I85" s="2">
        <v>42</v>
      </c>
    </row>
    <row r="86" spans="1:9" ht="15.75" x14ac:dyDescent="0.25">
      <c r="A86" s="1" t="s">
        <v>142</v>
      </c>
      <c r="B86">
        <f t="shared" si="4"/>
        <v>7</v>
      </c>
      <c r="F86" s="4">
        <v>35</v>
      </c>
      <c r="G86">
        <v>18</v>
      </c>
      <c r="H86">
        <f t="shared" si="3"/>
        <v>29</v>
      </c>
      <c r="I86" s="2">
        <v>41</v>
      </c>
    </row>
    <row r="87" spans="1:9" ht="15.75" x14ac:dyDescent="0.25">
      <c r="A87" s="1" t="s">
        <v>139</v>
      </c>
      <c r="B87">
        <f t="shared" si="4"/>
        <v>3</v>
      </c>
      <c r="F87" s="4">
        <v>36</v>
      </c>
      <c r="G87">
        <v>19</v>
      </c>
      <c r="H87">
        <f t="shared" si="3"/>
        <v>1</v>
      </c>
      <c r="I87" s="2">
        <v>18</v>
      </c>
    </row>
    <row r="88" spans="1:9" ht="15.75" x14ac:dyDescent="0.25">
      <c r="A88" s="1" t="s">
        <v>135</v>
      </c>
      <c r="B88">
        <f t="shared" si="4"/>
        <v>10</v>
      </c>
      <c r="F88" s="4" t="s">
        <v>166</v>
      </c>
      <c r="G88">
        <v>20</v>
      </c>
      <c r="H88">
        <f t="shared" si="3"/>
        <v>4</v>
      </c>
      <c r="I88" s="2">
        <v>21</v>
      </c>
    </row>
    <row r="89" spans="1:9" ht="15.75" x14ac:dyDescent="0.25">
      <c r="A89" s="1" t="s">
        <v>130</v>
      </c>
      <c r="B89">
        <f t="shared" si="4"/>
        <v>1</v>
      </c>
      <c r="F89" s="4">
        <v>37</v>
      </c>
      <c r="G89">
        <v>21</v>
      </c>
      <c r="H89">
        <f t="shared" si="3"/>
        <v>11</v>
      </c>
      <c r="I89" s="2">
        <v>28</v>
      </c>
    </row>
    <row r="90" spans="1:9" ht="15.75" x14ac:dyDescent="0.25">
      <c r="A90" s="1" t="s">
        <v>137</v>
      </c>
      <c r="B90">
        <f t="shared" si="4"/>
        <v>11</v>
      </c>
      <c r="F90" s="4" t="s">
        <v>167</v>
      </c>
      <c r="G90">
        <v>22</v>
      </c>
      <c r="H90">
        <f t="shared" si="3"/>
        <v>34</v>
      </c>
      <c r="I90" s="2">
        <v>44</v>
      </c>
    </row>
    <row r="91" spans="1:9" ht="15.75" x14ac:dyDescent="0.25">
      <c r="A91" s="1" t="s">
        <v>145</v>
      </c>
      <c r="B91">
        <f t="shared" si="4"/>
        <v>12</v>
      </c>
      <c r="F91" s="4">
        <v>38</v>
      </c>
      <c r="G91">
        <v>23</v>
      </c>
      <c r="H91">
        <f t="shared" si="3"/>
        <v>27</v>
      </c>
      <c r="I91" s="2">
        <v>40</v>
      </c>
    </row>
    <row r="92" spans="1:9" ht="15.75" x14ac:dyDescent="0.25">
      <c r="A92" s="1" t="s">
        <v>144</v>
      </c>
      <c r="B92">
        <f t="shared" si="4"/>
        <v>9</v>
      </c>
      <c r="F92" s="4" t="s">
        <v>168</v>
      </c>
      <c r="G92">
        <v>24</v>
      </c>
      <c r="H92">
        <f t="shared" si="3"/>
        <v>33</v>
      </c>
      <c r="I92" s="2">
        <v>43</v>
      </c>
    </row>
    <row r="93" spans="1:9" ht="15.75" x14ac:dyDescent="0.25">
      <c r="A93" s="1" t="s">
        <v>144</v>
      </c>
      <c r="B93">
        <f t="shared" si="4"/>
        <v>9</v>
      </c>
      <c r="F93" s="4">
        <v>39</v>
      </c>
      <c r="G93">
        <v>25</v>
      </c>
      <c r="H93">
        <f t="shared" si="3"/>
        <v>16</v>
      </c>
      <c r="I93" s="2">
        <v>33</v>
      </c>
    </row>
    <row r="94" spans="1:9" ht="15.75" x14ac:dyDescent="0.25">
      <c r="A94" s="1" t="s">
        <v>131</v>
      </c>
      <c r="B94">
        <f t="shared" si="4"/>
        <v>6</v>
      </c>
      <c r="F94" s="4" t="s">
        <v>169</v>
      </c>
      <c r="G94">
        <v>26</v>
      </c>
      <c r="H94">
        <f t="shared" si="3"/>
        <v>5</v>
      </c>
      <c r="I94" s="2">
        <v>22</v>
      </c>
    </row>
    <row r="95" spans="1:9" ht="15.75" x14ac:dyDescent="0.25">
      <c r="A95" s="1" t="s">
        <v>134</v>
      </c>
      <c r="B95">
        <f t="shared" si="4"/>
        <v>13</v>
      </c>
      <c r="F95" s="4">
        <v>40</v>
      </c>
      <c r="G95">
        <v>27</v>
      </c>
      <c r="H95">
        <f t="shared" si="3"/>
        <v>18</v>
      </c>
      <c r="I95" s="2">
        <v>35</v>
      </c>
    </row>
    <row r="96" spans="1:9" ht="15.75" x14ac:dyDescent="0.25">
      <c r="A96" s="1" t="s">
        <v>141</v>
      </c>
      <c r="B96">
        <f t="shared" si="4"/>
        <v>4</v>
      </c>
      <c r="F96" s="4" t="s">
        <v>170</v>
      </c>
      <c r="G96">
        <v>28</v>
      </c>
      <c r="H96">
        <f t="shared" si="3"/>
        <v>21</v>
      </c>
      <c r="I96" s="2">
        <v>37</v>
      </c>
    </row>
    <row r="97" spans="1:9" ht="15.75" x14ac:dyDescent="0.25">
      <c r="A97" s="1" t="s">
        <v>143</v>
      </c>
      <c r="B97">
        <f t="shared" si="4"/>
        <v>8</v>
      </c>
      <c r="F97" s="4">
        <v>41</v>
      </c>
      <c r="G97">
        <v>29</v>
      </c>
      <c r="H97">
        <f t="shared" si="3"/>
        <v>19</v>
      </c>
      <c r="I97" s="2">
        <v>36</v>
      </c>
    </row>
    <row r="98" spans="1:9" ht="15.75" x14ac:dyDescent="0.25">
      <c r="A98" s="1" t="s">
        <v>143</v>
      </c>
      <c r="B98">
        <f t="shared" si="4"/>
        <v>8</v>
      </c>
      <c r="F98" s="4" t="s">
        <v>171</v>
      </c>
      <c r="G98">
        <v>30</v>
      </c>
      <c r="H98">
        <f t="shared" si="3"/>
        <v>18</v>
      </c>
      <c r="I98" s="2">
        <v>35</v>
      </c>
    </row>
    <row r="99" spans="1:9" ht="15.75" x14ac:dyDescent="0.25">
      <c r="A99" s="1" t="s">
        <v>141</v>
      </c>
      <c r="B99">
        <f t="shared" si="4"/>
        <v>4</v>
      </c>
      <c r="F99" s="4">
        <v>42</v>
      </c>
      <c r="G99">
        <v>31</v>
      </c>
    </row>
    <row r="100" spans="1:9" ht="15.75" x14ac:dyDescent="0.25">
      <c r="F100" s="4" t="s">
        <v>172</v>
      </c>
      <c r="G100">
        <v>32</v>
      </c>
    </row>
    <row r="101" spans="1:9" ht="15.75" x14ac:dyDescent="0.25">
      <c r="F101" s="4">
        <v>43</v>
      </c>
      <c r="G101">
        <v>33</v>
      </c>
    </row>
    <row r="102" spans="1:9" ht="15.75" x14ac:dyDescent="0.25">
      <c r="F102" s="4">
        <v>44</v>
      </c>
      <c r="G102">
        <v>34</v>
      </c>
    </row>
    <row r="103" spans="1:9" ht="15.75" x14ac:dyDescent="0.25">
      <c r="F103" s="4">
        <v>45</v>
      </c>
      <c r="G103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A28" sqref="A28"/>
    </sheetView>
  </sheetViews>
  <sheetFormatPr defaultRowHeight="15" x14ac:dyDescent="0.25"/>
  <sheetData>
    <row r="1" spans="1:2" ht="15.75" x14ac:dyDescent="0.25">
      <c r="A1" t="s">
        <v>265</v>
      </c>
      <c r="B1" s="1" t="s">
        <v>148</v>
      </c>
    </row>
    <row r="2" spans="1:2" ht="15.75" x14ac:dyDescent="0.25">
      <c r="A2">
        <v>1</v>
      </c>
      <c r="B2" s="4">
        <v>18</v>
      </c>
    </row>
    <row r="3" spans="1:2" ht="15.75" x14ac:dyDescent="0.25">
      <c r="A3">
        <v>2</v>
      </c>
      <c r="B3" s="4">
        <v>19</v>
      </c>
    </row>
    <row r="4" spans="1:2" ht="15.75" x14ac:dyDescent="0.25">
      <c r="A4">
        <v>3</v>
      </c>
      <c r="B4" s="4">
        <v>20</v>
      </c>
    </row>
    <row r="5" spans="1:2" ht="15.75" x14ac:dyDescent="0.25">
      <c r="A5">
        <v>4</v>
      </c>
      <c r="B5" s="4">
        <v>21</v>
      </c>
    </row>
    <row r="6" spans="1:2" ht="15.75" x14ac:dyDescent="0.25">
      <c r="A6">
        <v>5</v>
      </c>
      <c r="B6" s="4">
        <v>22</v>
      </c>
    </row>
    <row r="7" spans="1:2" ht="15.75" x14ac:dyDescent="0.25">
      <c r="A7">
        <v>6</v>
      </c>
      <c r="B7" s="4">
        <v>23</v>
      </c>
    </row>
    <row r="8" spans="1:2" ht="15.75" x14ac:dyDescent="0.25">
      <c r="A8">
        <v>7</v>
      </c>
      <c r="B8" s="4">
        <v>24</v>
      </c>
    </row>
    <row r="9" spans="1:2" ht="15.75" x14ac:dyDescent="0.25">
      <c r="A9">
        <v>8</v>
      </c>
      <c r="B9" s="4">
        <v>25</v>
      </c>
    </row>
    <row r="10" spans="1:2" ht="15.75" x14ac:dyDescent="0.25">
      <c r="A10">
        <v>9</v>
      </c>
      <c r="B10" s="4">
        <v>26</v>
      </c>
    </row>
    <row r="11" spans="1:2" ht="15.75" x14ac:dyDescent="0.25">
      <c r="A11">
        <v>10</v>
      </c>
      <c r="B11" s="4">
        <v>27</v>
      </c>
    </row>
    <row r="12" spans="1:2" ht="15.75" x14ac:dyDescent="0.25">
      <c r="A12">
        <v>11</v>
      </c>
      <c r="B12" s="4">
        <v>28</v>
      </c>
    </row>
    <row r="13" spans="1:2" ht="15.75" x14ac:dyDescent="0.25">
      <c r="A13">
        <v>12</v>
      </c>
      <c r="B13" s="4">
        <v>29</v>
      </c>
    </row>
    <row r="14" spans="1:2" ht="15.75" x14ac:dyDescent="0.25">
      <c r="A14">
        <v>13</v>
      </c>
      <c r="B14" s="4">
        <v>30</v>
      </c>
    </row>
    <row r="15" spans="1:2" ht="15.75" x14ac:dyDescent="0.25">
      <c r="A15">
        <v>14</v>
      </c>
      <c r="B15" s="4">
        <v>31</v>
      </c>
    </row>
    <row r="16" spans="1:2" ht="15.75" x14ac:dyDescent="0.25">
      <c r="A16">
        <v>15</v>
      </c>
      <c r="B16" s="4">
        <v>32</v>
      </c>
    </row>
    <row r="17" spans="1:2" ht="15.75" x14ac:dyDescent="0.25">
      <c r="A17">
        <v>16</v>
      </c>
      <c r="B17" s="4">
        <v>33</v>
      </c>
    </row>
    <row r="18" spans="1:2" ht="15.75" x14ac:dyDescent="0.25">
      <c r="A18">
        <v>17</v>
      </c>
      <c r="B18" s="4">
        <v>34</v>
      </c>
    </row>
    <row r="19" spans="1:2" ht="15.75" x14ac:dyDescent="0.25">
      <c r="A19">
        <v>18</v>
      </c>
      <c r="B19" s="4">
        <v>35</v>
      </c>
    </row>
    <row r="20" spans="1:2" ht="15.75" x14ac:dyDescent="0.25">
      <c r="A20">
        <v>19</v>
      </c>
      <c r="B20" s="4">
        <v>36</v>
      </c>
    </row>
    <row r="21" spans="1:2" ht="15.75" x14ac:dyDescent="0.25">
      <c r="A21">
        <v>20</v>
      </c>
      <c r="B21" s="4" t="s">
        <v>166</v>
      </c>
    </row>
    <row r="22" spans="1:2" ht="15.75" x14ac:dyDescent="0.25">
      <c r="A22">
        <v>21</v>
      </c>
      <c r="B22" s="4">
        <v>37</v>
      </c>
    </row>
    <row r="23" spans="1:2" ht="15.75" x14ac:dyDescent="0.25">
      <c r="A23">
        <v>22</v>
      </c>
      <c r="B23" s="4" t="s">
        <v>167</v>
      </c>
    </row>
    <row r="24" spans="1:2" ht="15.75" x14ac:dyDescent="0.25">
      <c r="A24">
        <v>23</v>
      </c>
      <c r="B24" s="4">
        <v>38</v>
      </c>
    </row>
    <row r="25" spans="1:2" ht="15.75" x14ac:dyDescent="0.25">
      <c r="A25">
        <v>24</v>
      </c>
      <c r="B25" s="4" t="s">
        <v>168</v>
      </c>
    </row>
    <row r="26" spans="1:2" ht="15.75" x14ac:dyDescent="0.25">
      <c r="A26">
        <v>25</v>
      </c>
      <c r="B26" s="4">
        <v>39</v>
      </c>
    </row>
    <row r="27" spans="1:2" ht="15.75" x14ac:dyDescent="0.25">
      <c r="A27">
        <v>26</v>
      </c>
      <c r="B27" s="4" t="s">
        <v>169</v>
      </c>
    </row>
    <row r="28" spans="1:2" ht="15.75" x14ac:dyDescent="0.25">
      <c r="A28">
        <v>27</v>
      </c>
      <c r="B28" s="4">
        <v>40</v>
      </c>
    </row>
    <row r="29" spans="1:2" ht="15.75" x14ac:dyDescent="0.25">
      <c r="A29">
        <v>28</v>
      </c>
      <c r="B29" s="4" t="s">
        <v>170</v>
      </c>
    </row>
    <row r="30" spans="1:2" ht="15.75" x14ac:dyDescent="0.25">
      <c r="A30">
        <v>29</v>
      </c>
      <c r="B30" s="4">
        <v>41</v>
      </c>
    </row>
    <row r="31" spans="1:2" ht="15.75" x14ac:dyDescent="0.25">
      <c r="A31">
        <v>30</v>
      </c>
      <c r="B31" s="4" t="s">
        <v>171</v>
      </c>
    </row>
    <row r="32" spans="1:2" ht="15.75" x14ac:dyDescent="0.25">
      <c r="A32">
        <v>31</v>
      </c>
      <c r="B32" s="4">
        <v>42</v>
      </c>
    </row>
    <row r="33" spans="1:2" ht="15.75" x14ac:dyDescent="0.25">
      <c r="A33">
        <v>32</v>
      </c>
      <c r="B33" s="4" t="s">
        <v>172</v>
      </c>
    </row>
    <row r="34" spans="1:2" ht="15.75" x14ac:dyDescent="0.25">
      <c r="A34">
        <v>33</v>
      </c>
      <c r="B34" s="4">
        <v>43</v>
      </c>
    </row>
    <row r="35" spans="1:2" ht="15.75" x14ac:dyDescent="0.25">
      <c r="A35">
        <v>34</v>
      </c>
      <c r="B35" s="4">
        <v>44</v>
      </c>
    </row>
    <row r="36" spans="1:2" ht="15.75" x14ac:dyDescent="0.25">
      <c r="A36">
        <v>35</v>
      </c>
      <c r="B36" s="4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7"/>
  <sheetViews>
    <sheetView topLeftCell="A82" workbookViewId="0">
      <selection activeCell="C96" sqref="C96:C108"/>
    </sheetView>
  </sheetViews>
  <sheetFormatPr defaultRowHeight="15" x14ac:dyDescent="0.25"/>
  <cols>
    <col min="1" max="1" width="63.85546875" customWidth="1"/>
    <col min="2" max="2" width="24.7109375" customWidth="1"/>
    <col min="3" max="3" width="21.140625" customWidth="1"/>
    <col min="4" max="4" width="23" customWidth="1"/>
  </cols>
  <sheetData>
    <row r="1" spans="1:5" ht="15.75" x14ac:dyDescent="0.25">
      <c r="A1" s="1" t="s">
        <v>1</v>
      </c>
      <c r="B1" s="1" t="s">
        <v>2</v>
      </c>
      <c r="C1" s="1" t="s">
        <v>148</v>
      </c>
      <c r="D1" s="1" t="s">
        <v>173</v>
      </c>
      <c r="E1" s="1"/>
    </row>
    <row r="2" spans="1:5" ht="15.75" x14ac:dyDescent="0.25">
      <c r="A2" s="1" t="s">
        <v>7</v>
      </c>
      <c r="B2" s="1" t="s">
        <v>130</v>
      </c>
      <c r="C2" s="5">
        <v>20</v>
      </c>
      <c r="D2" s="2">
        <v>20</v>
      </c>
      <c r="E2" s="1"/>
    </row>
    <row r="3" spans="1:5" ht="15.75" x14ac:dyDescent="0.25">
      <c r="A3" s="1" t="s">
        <v>7</v>
      </c>
      <c r="B3" s="1" t="s">
        <v>130</v>
      </c>
      <c r="C3" s="5">
        <v>21</v>
      </c>
      <c r="D3" s="2">
        <v>20</v>
      </c>
      <c r="E3" s="1"/>
    </row>
    <row r="4" spans="1:5" ht="15.75" x14ac:dyDescent="0.25">
      <c r="A4" s="1" t="s">
        <v>7</v>
      </c>
      <c r="B4" s="1" t="s">
        <v>130</v>
      </c>
      <c r="C4" s="5">
        <v>22</v>
      </c>
      <c r="D4" s="2">
        <v>20</v>
      </c>
      <c r="E4" s="1"/>
    </row>
    <row r="5" spans="1:5" ht="15.75" x14ac:dyDescent="0.25">
      <c r="A5" s="1" t="s">
        <v>7</v>
      </c>
      <c r="B5" s="1" t="s">
        <v>130</v>
      </c>
      <c r="C5" s="5">
        <v>23</v>
      </c>
      <c r="D5" s="2">
        <v>20</v>
      </c>
      <c r="E5" s="1"/>
    </row>
    <row r="6" spans="1:5" ht="15.75" x14ac:dyDescent="0.25">
      <c r="A6" s="1" t="s">
        <v>7</v>
      </c>
      <c r="B6" s="1" t="s">
        <v>130</v>
      </c>
      <c r="C6" s="5">
        <v>24</v>
      </c>
      <c r="D6" s="2">
        <v>20</v>
      </c>
      <c r="E6" s="1"/>
    </row>
    <row r="7" spans="1:5" ht="15.75" x14ac:dyDescent="0.25">
      <c r="A7" s="1" t="s">
        <v>7</v>
      </c>
      <c r="B7" s="1" t="s">
        <v>130</v>
      </c>
      <c r="C7" s="5">
        <v>25</v>
      </c>
      <c r="D7" s="2">
        <v>20</v>
      </c>
      <c r="E7" s="1"/>
    </row>
    <row r="8" spans="1:5" ht="15.75" x14ac:dyDescent="0.25">
      <c r="A8" s="1" t="s">
        <v>11</v>
      </c>
      <c r="B8" s="1" t="s">
        <v>131</v>
      </c>
      <c r="C8" s="5">
        <v>33</v>
      </c>
      <c r="D8" s="2">
        <v>2</v>
      </c>
      <c r="E8" s="1"/>
    </row>
    <row r="9" spans="1:5" ht="15.75" x14ac:dyDescent="0.25">
      <c r="A9" s="1" t="s">
        <v>11</v>
      </c>
      <c r="B9" s="1" t="s">
        <v>131</v>
      </c>
      <c r="C9" s="5">
        <v>34</v>
      </c>
      <c r="D9" s="2">
        <v>2</v>
      </c>
      <c r="E9" s="1"/>
    </row>
    <row r="10" spans="1:5" ht="15.75" x14ac:dyDescent="0.25">
      <c r="A10" s="1" t="s">
        <v>15</v>
      </c>
      <c r="B10" s="1" t="s">
        <v>132</v>
      </c>
      <c r="C10" s="5">
        <v>19</v>
      </c>
      <c r="D10" s="2">
        <v>30</v>
      </c>
      <c r="E10" s="1"/>
    </row>
    <row r="11" spans="1:5" ht="15.75" x14ac:dyDescent="0.25">
      <c r="A11" s="1" t="s">
        <v>15</v>
      </c>
      <c r="B11" s="1" t="s">
        <v>132</v>
      </c>
      <c r="C11" s="5">
        <v>20</v>
      </c>
      <c r="D11" s="2">
        <v>30</v>
      </c>
      <c r="E11" s="1"/>
    </row>
    <row r="12" spans="1:5" ht="15.75" x14ac:dyDescent="0.25">
      <c r="A12" s="1" t="s">
        <v>19</v>
      </c>
      <c r="B12" s="1" t="s">
        <v>133</v>
      </c>
      <c r="C12" s="5">
        <v>19</v>
      </c>
      <c r="D12" s="2">
        <v>15</v>
      </c>
      <c r="E12" s="1"/>
    </row>
    <row r="13" spans="1:5" ht="15.75" x14ac:dyDescent="0.25">
      <c r="A13" s="1" t="s">
        <v>19</v>
      </c>
      <c r="B13" s="1" t="s">
        <v>133</v>
      </c>
      <c r="C13" s="5">
        <v>20</v>
      </c>
      <c r="D13" s="2">
        <v>15</v>
      </c>
      <c r="E13" s="1"/>
    </row>
    <row r="14" spans="1:5" ht="15.75" x14ac:dyDescent="0.25">
      <c r="A14" s="1" t="s">
        <v>23</v>
      </c>
      <c r="B14" s="1" t="s">
        <v>134</v>
      </c>
      <c r="C14" s="5">
        <v>21</v>
      </c>
      <c r="D14" s="2">
        <v>5</v>
      </c>
      <c r="E14" s="1"/>
    </row>
    <row r="15" spans="1:5" ht="15.75" x14ac:dyDescent="0.25">
      <c r="A15" s="1" t="s">
        <v>23</v>
      </c>
      <c r="B15" s="1" t="s">
        <v>134</v>
      </c>
      <c r="C15" s="5">
        <v>22</v>
      </c>
      <c r="D15" s="2">
        <v>5</v>
      </c>
      <c r="E15" s="1"/>
    </row>
    <row r="16" spans="1:5" ht="15.75" x14ac:dyDescent="0.25">
      <c r="A16" s="1" t="s">
        <v>23</v>
      </c>
      <c r="B16" s="1" t="s">
        <v>134</v>
      </c>
      <c r="C16" s="5">
        <v>23</v>
      </c>
      <c r="D16" s="2">
        <v>5</v>
      </c>
      <c r="E16" s="1"/>
    </row>
    <row r="17" spans="1:5" ht="15.75" x14ac:dyDescent="0.25">
      <c r="A17" s="1" t="s">
        <v>27</v>
      </c>
      <c r="B17" s="1" t="s">
        <v>135</v>
      </c>
      <c r="C17" s="5">
        <v>18</v>
      </c>
      <c r="D17" s="2">
        <v>4</v>
      </c>
      <c r="E17" s="1"/>
    </row>
    <row r="18" spans="1:5" ht="15.75" x14ac:dyDescent="0.25">
      <c r="A18" s="1" t="s">
        <v>27</v>
      </c>
      <c r="B18" s="1" t="s">
        <v>135</v>
      </c>
      <c r="C18" s="5">
        <v>19</v>
      </c>
      <c r="D18" s="2">
        <v>4</v>
      </c>
      <c r="E18" s="1"/>
    </row>
    <row r="19" spans="1:5" ht="15.75" x14ac:dyDescent="0.25">
      <c r="A19" s="1" t="s">
        <v>27</v>
      </c>
      <c r="B19" s="1" t="s">
        <v>135</v>
      </c>
      <c r="C19" s="5">
        <v>20</v>
      </c>
      <c r="D19" s="2">
        <v>4</v>
      </c>
      <c r="E19" s="1"/>
    </row>
    <row r="20" spans="1:5" ht="15.75" x14ac:dyDescent="0.25">
      <c r="A20" s="1" t="s">
        <v>31</v>
      </c>
      <c r="B20" s="1" t="s">
        <v>136</v>
      </c>
      <c r="C20" s="5">
        <v>21</v>
      </c>
      <c r="D20" s="2">
        <v>4</v>
      </c>
      <c r="E20" s="1"/>
    </row>
    <row r="21" spans="1:5" ht="15.75" x14ac:dyDescent="0.25">
      <c r="A21" s="1" t="s">
        <v>31</v>
      </c>
      <c r="B21" s="1" t="s">
        <v>136</v>
      </c>
      <c r="C21" s="5">
        <v>22</v>
      </c>
      <c r="D21" s="2">
        <v>4</v>
      </c>
      <c r="E21" s="1"/>
    </row>
    <row r="22" spans="1:5" ht="15.75" x14ac:dyDescent="0.25">
      <c r="A22" s="1" t="s">
        <v>31</v>
      </c>
      <c r="B22" s="1" t="s">
        <v>136</v>
      </c>
      <c r="C22" s="5">
        <v>23</v>
      </c>
      <c r="D22" s="2">
        <v>4</v>
      </c>
      <c r="E22" s="1"/>
    </row>
    <row r="23" spans="1:5" ht="15.75" x14ac:dyDescent="0.25">
      <c r="A23" s="1" t="s">
        <v>31</v>
      </c>
      <c r="B23" s="1" t="s">
        <v>136</v>
      </c>
      <c r="C23" s="5">
        <v>24</v>
      </c>
      <c r="D23" s="2">
        <v>4</v>
      </c>
      <c r="E23" s="1"/>
    </row>
    <row r="24" spans="1:5" ht="15.75" x14ac:dyDescent="0.25">
      <c r="A24" s="1" t="s">
        <v>35</v>
      </c>
      <c r="B24" s="1" t="s">
        <v>137</v>
      </c>
      <c r="C24" s="5">
        <v>27</v>
      </c>
      <c r="D24" s="2">
        <v>7</v>
      </c>
      <c r="E24" s="1"/>
    </row>
    <row r="25" spans="1:5" ht="15.75" x14ac:dyDescent="0.25">
      <c r="A25" s="1" t="s">
        <v>35</v>
      </c>
      <c r="B25" s="1" t="s">
        <v>137</v>
      </c>
      <c r="C25" s="5">
        <v>28</v>
      </c>
      <c r="D25" s="2">
        <v>7</v>
      </c>
      <c r="E25" s="1"/>
    </row>
    <row r="26" spans="1:5" ht="15.75" x14ac:dyDescent="0.25">
      <c r="A26" s="1" t="s">
        <v>35</v>
      </c>
      <c r="B26" s="1" t="s">
        <v>137</v>
      </c>
      <c r="C26" s="5">
        <v>29</v>
      </c>
      <c r="D26" s="2">
        <v>7</v>
      </c>
      <c r="E26" s="1"/>
    </row>
    <row r="27" spans="1:5" ht="15.75" x14ac:dyDescent="0.25">
      <c r="A27" s="1" t="s">
        <v>35</v>
      </c>
      <c r="B27" s="1" t="s">
        <v>137</v>
      </c>
      <c r="C27" s="5">
        <v>30</v>
      </c>
      <c r="D27" s="2">
        <v>7</v>
      </c>
      <c r="E27" s="1"/>
    </row>
    <row r="28" spans="1:5" ht="15.75" x14ac:dyDescent="0.25">
      <c r="A28" s="1" t="s">
        <v>39</v>
      </c>
      <c r="B28" s="1" t="s">
        <v>138</v>
      </c>
      <c r="C28" s="5">
        <v>18</v>
      </c>
      <c r="D28" s="2">
        <v>7</v>
      </c>
      <c r="E28" s="1"/>
    </row>
    <row r="29" spans="1:5" ht="15.75" x14ac:dyDescent="0.25">
      <c r="A29" s="1" t="s">
        <v>39</v>
      </c>
      <c r="B29" s="1" t="s">
        <v>138</v>
      </c>
      <c r="C29" s="5">
        <v>19</v>
      </c>
      <c r="D29" s="2">
        <v>7</v>
      </c>
      <c r="E29" s="1"/>
    </row>
    <row r="30" spans="1:5" ht="15.75" x14ac:dyDescent="0.25">
      <c r="A30" s="1" t="s">
        <v>39</v>
      </c>
      <c r="B30" s="1" t="s">
        <v>138</v>
      </c>
      <c r="C30" s="5">
        <v>20</v>
      </c>
      <c r="D30" s="2">
        <v>7</v>
      </c>
      <c r="E30" s="1"/>
    </row>
    <row r="31" spans="1:5" ht="15.75" x14ac:dyDescent="0.25">
      <c r="A31" s="1" t="s">
        <v>43</v>
      </c>
      <c r="B31" s="1" t="s">
        <v>139</v>
      </c>
      <c r="C31" s="5">
        <v>36</v>
      </c>
      <c r="D31" s="2">
        <v>12</v>
      </c>
      <c r="E31" s="1"/>
    </row>
    <row r="32" spans="1:5" ht="15.75" x14ac:dyDescent="0.25">
      <c r="A32" s="1" t="s">
        <v>43</v>
      </c>
      <c r="B32" s="1" t="s">
        <v>139</v>
      </c>
      <c r="C32" s="5">
        <v>37</v>
      </c>
      <c r="D32" s="2">
        <v>12</v>
      </c>
      <c r="E32" s="1"/>
    </row>
    <row r="33" spans="1:5" ht="15.75" x14ac:dyDescent="0.25">
      <c r="A33" s="1" t="s">
        <v>47</v>
      </c>
      <c r="B33" s="1" t="s">
        <v>139</v>
      </c>
      <c r="C33" s="5">
        <v>39</v>
      </c>
      <c r="D33" s="2">
        <v>2</v>
      </c>
      <c r="E33" s="1"/>
    </row>
    <row r="34" spans="1:5" ht="15.75" x14ac:dyDescent="0.25">
      <c r="A34" s="1" t="s">
        <v>47</v>
      </c>
      <c r="B34" s="1" t="s">
        <v>139</v>
      </c>
      <c r="C34" s="5">
        <v>40</v>
      </c>
      <c r="D34" s="2">
        <v>2</v>
      </c>
      <c r="E34" s="1"/>
    </row>
    <row r="35" spans="1:5" ht="15.75" x14ac:dyDescent="0.25">
      <c r="A35" s="1" t="s">
        <v>51</v>
      </c>
      <c r="B35" s="1" t="s">
        <v>140</v>
      </c>
      <c r="C35" s="5">
        <v>37</v>
      </c>
      <c r="D35" s="2">
        <v>5</v>
      </c>
      <c r="E35" s="1"/>
    </row>
    <row r="36" spans="1:5" ht="15.75" x14ac:dyDescent="0.25">
      <c r="A36" s="1" t="s">
        <v>51</v>
      </c>
      <c r="B36" s="1" t="s">
        <v>140</v>
      </c>
      <c r="C36" s="5">
        <v>39</v>
      </c>
      <c r="D36" s="2">
        <v>5</v>
      </c>
      <c r="E36" s="1"/>
    </row>
    <row r="37" spans="1:5" ht="15.75" x14ac:dyDescent="0.25">
      <c r="A37" s="1" t="s">
        <v>51</v>
      </c>
      <c r="B37" s="1" t="s">
        <v>140</v>
      </c>
      <c r="C37" s="5">
        <v>40</v>
      </c>
      <c r="D37" s="2">
        <v>5</v>
      </c>
      <c r="E37" s="1"/>
    </row>
    <row r="38" spans="1:5" ht="15.75" x14ac:dyDescent="0.25">
      <c r="A38" s="1" t="s">
        <v>55</v>
      </c>
      <c r="B38" s="1" t="s">
        <v>141</v>
      </c>
      <c r="C38" s="5">
        <v>36</v>
      </c>
      <c r="D38" s="2">
        <v>10</v>
      </c>
      <c r="E38" s="1"/>
    </row>
    <row r="39" spans="1:5" ht="15.75" x14ac:dyDescent="0.25">
      <c r="A39" s="1" t="s">
        <v>55</v>
      </c>
      <c r="B39" s="1" t="s">
        <v>141</v>
      </c>
      <c r="C39" s="5">
        <v>37</v>
      </c>
      <c r="D39" s="2">
        <v>10</v>
      </c>
      <c r="E39" s="1"/>
    </row>
    <row r="40" spans="1:5" ht="15.75" x14ac:dyDescent="0.25">
      <c r="A40" s="1" t="s">
        <v>55</v>
      </c>
      <c r="B40" s="1" t="s">
        <v>141</v>
      </c>
      <c r="C40" s="5">
        <v>38</v>
      </c>
      <c r="D40" s="2">
        <v>10</v>
      </c>
      <c r="E40" s="1"/>
    </row>
    <row r="41" spans="1:5" ht="15.75" x14ac:dyDescent="0.25">
      <c r="A41" s="1" t="s">
        <v>55</v>
      </c>
      <c r="B41" s="1" t="s">
        <v>141</v>
      </c>
      <c r="C41" s="5">
        <v>39</v>
      </c>
      <c r="D41" s="2">
        <v>10</v>
      </c>
      <c r="E41" s="1"/>
    </row>
    <row r="42" spans="1:5" ht="15.75" x14ac:dyDescent="0.25">
      <c r="A42" s="1" t="s">
        <v>55</v>
      </c>
      <c r="B42" s="1" t="s">
        <v>141</v>
      </c>
      <c r="C42" s="5">
        <v>40</v>
      </c>
      <c r="D42" s="2">
        <v>10</v>
      </c>
      <c r="E42" s="1"/>
    </row>
    <row r="43" spans="1:5" ht="15.75" x14ac:dyDescent="0.25">
      <c r="A43" s="1" t="s">
        <v>59</v>
      </c>
      <c r="B43" s="1" t="s">
        <v>142</v>
      </c>
      <c r="C43" s="5">
        <v>35</v>
      </c>
      <c r="D43" s="2">
        <v>3</v>
      </c>
      <c r="E43" s="1"/>
    </row>
    <row r="44" spans="1:5" ht="15.75" x14ac:dyDescent="0.25">
      <c r="A44" s="1" t="s">
        <v>63</v>
      </c>
      <c r="B44" s="1" t="s">
        <v>143</v>
      </c>
      <c r="C44" s="5">
        <v>37</v>
      </c>
      <c r="D44" s="2">
        <v>23</v>
      </c>
      <c r="E44" s="1"/>
    </row>
    <row r="45" spans="1:5" ht="15.75" x14ac:dyDescent="0.25">
      <c r="A45" s="1" t="s">
        <v>63</v>
      </c>
      <c r="B45" s="1" t="s">
        <v>143</v>
      </c>
      <c r="C45" s="5">
        <v>39</v>
      </c>
      <c r="D45" s="2">
        <v>23</v>
      </c>
      <c r="E45" s="1"/>
    </row>
    <row r="46" spans="1:5" ht="15.75" x14ac:dyDescent="0.25">
      <c r="A46" s="1" t="s">
        <v>63</v>
      </c>
      <c r="B46" s="1" t="s">
        <v>143</v>
      </c>
      <c r="C46" s="5">
        <v>40</v>
      </c>
      <c r="D46" s="2">
        <v>23</v>
      </c>
      <c r="E46" s="1"/>
    </row>
    <row r="47" spans="1:5" ht="15.75" x14ac:dyDescent="0.25">
      <c r="A47" s="1" t="s">
        <v>67</v>
      </c>
      <c r="B47" s="1" t="s">
        <v>143</v>
      </c>
      <c r="C47" s="5">
        <v>36</v>
      </c>
      <c r="D47" s="2">
        <v>25</v>
      </c>
      <c r="E47" s="1"/>
    </row>
    <row r="48" spans="1:5" ht="15.75" x14ac:dyDescent="0.25">
      <c r="A48" s="1" t="s">
        <v>67</v>
      </c>
      <c r="B48" s="1" t="s">
        <v>143</v>
      </c>
      <c r="C48" s="5">
        <v>37</v>
      </c>
      <c r="D48" s="2">
        <v>25</v>
      </c>
      <c r="E48" s="1"/>
    </row>
    <row r="49" spans="1:5" ht="15.75" x14ac:dyDescent="0.25">
      <c r="A49" s="1" t="s">
        <v>67</v>
      </c>
      <c r="B49" s="1" t="s">
        <v>143</v>
      </c>
      <c r="C49" s="5">
        <v>38</v>
      </c>
      <c r="D49" s="2">
        <v>25</v>
      </c>
      <c r="E49" s="1"/>
    </row>
    <row r="50" spans="1:5" ht="15.75" x14ac:dyDescent="0.25">
      <c r="A50" s="1" t="s">
        <v>157</v>
      </c>
      <c r="B50" s="1" t="s">
        <v>142</v>
      </c>
      <c r="C50" s="5">
        <v>36</v>
      </c>
      <c r="D50" s="2">
        <v>4</v>
      </c>
      <c r="E50" s="1"/>
    </row>
    <row r="51" spans="1:5" ht="15.75" x14ac:dyDescent="0.25">
      <c r="A51" s="1" t="s">
        <v>157</v>
      </c>
      <c r="B51" s="1" t="s">
        <v>142</v>
      </c>
      <c r="C51" s="5">
        <v>38</v>
      </c>
      <c r="D51" s="2">
        <v>4</v>
      </c>
      <c r="E51" s="1"/>
    </row>
    <row r="52" spans="1:5" ht="15.75" x14ac:dyDescent="0.25">
      <c r="A52" s="1" t="s">
        <v>157</v>
      </c>
      <c r="B52" s="1" t="s">
        <v>142</v>
      </c>
      <c r="C52" s="5">
        <v>39</v>
      </c>
      <c r="D52" s="2">
        <v>4</v>
      </c>
      <c r="E52" s="1"/>
    </row>
    <row r="53" spans="1:5" ht="15.75" x14ac:dyDescent="0.25">
      <c r="A53" s="1" t="s">
        <v>157</v>
      </c>
      <c r="B53" s="1" t="s">
        <v>142</v>
      </c>
      <c r="C53" s="5">
        <v>40</v>
      </c>
      <c r="D53" s="2">
        <v>4</v>
      </c>
      <c r="E53" s="1"/>
    </row>
    <row r="54" spans="1:5" ht="15.75" x14ac:dyDescent="0.25">
      <c r="A54" s="1" t="s">
        <v>75</v>
      </c>
      <c r="B54" s="1" t="s">
        <v>141</v>
      </c>
      <c r="C54" s="5">
        <v>35</v>
      </c>
      <c r="D54" s="2">
        <v>9</v>
      </c>
      <c r="E54" s="1"/>
    </row>
    <row r="55" spans="1:5" ht="15.75" x14ac:dyDescent="0.25">
      <c r="A55" s="1" t="s">
        <v>75</v>
      </c>
      <c r="B55" s="1" t="s">
        <v>141</v>
      </c>
      <c r="C55" s="5">
        <v>38</v>
      </c>
      <c r="D55" s="2">
        <v>9</v>
      </c>
      <c r="E55" s="1"/>
    </row>
    <row r="56" spans="1:5" ht="15.75" x14ac:dyDescent="0.25">
      <c r="A56" s="1" t="s">
        <v>79</v>
      </c>
      <c r="B56" s="1" t="s">
        <v>131</v>
      </c>
      <c r="C56" s="5">
        <v>35</v>
      </c>
      <c r="D56" s="2">
        <v>2</v>
      </c>
      <c r="E56" s="1"/>
    </row>
    <row r="57" spans="1:5" ht="15.75" x14ac:dyDescent="0.25">
      <c r="A57" s="1" t="s">
        <v>79</v>
      </c>
      <c r="B57" s="1" t="s">
        <v>131</v>
      </c>
      <c r="C57" s="5">
        <v>36</v>
      </c>
      <c r="D57" s="2">
        <v>2</v>
      </c>
      <c r="E57" s="1"/>
    </row>
    <row r="58" spans="1:5" ht="15.75" x14ac:dyDescent="0.25">
      <c r="A58" s="1" t="s">
        <v>83</v>
      </c>
      <c r="B58" s="1" t="s">
        <v>131</v>
      </c>
      <c r="C58" s="5">
        <v>37</v>
      </c>
      <c r="D58" s="2">
        <v>5</v>
      </c>
      <c r="E58" s="1"/>
    </row>
    <row r="59" spans="1:5" ht="15.75" x14ac:dyDescent="0.25">
      <c r="A59" s="1" t="s">
        <v>83</v>
      </c>
      <c r="B59" s="1" t="s">
        <v>131</v>
      </c>
      <c r="C59" s="5" t="s">
        <v>167</v>
      </c>
      <c r="D59" s="2">
        <v>5</v>
      </c>
      <c r="E59" s="1"/>
    </row>
    <row r="60" spans="1:5" ht="15.75" x14ac:dyDescent="0.25">
      <c r="A60" s="1" t="s">
        <v>83</v>
      </c>
      <c r="B60" s="1" t="s">
        <v>131</v>
      </c>
      <c r="C60" s="5">
        <v>38</v>
      </c>
      <c r="D60" s="2">
        <v>5</v>
      </c>
      <c r="E60" s="1"/>
    </row>
    <row r="61" spans="1:5" ht="15.75" x14ac:dyDescent="0.25">
      <c r="A61" s="1" t="s">
        <v>83</v>
      </c>
      <c r="B61" s="1" t="s">
        <v>131</v>
      </c>
      <c r="C61" s="5" t="s">
        <v>168</v>
      </c>
      <c r="D61" s="2">
        <v>5</v>
      </c>
      <c r="E61" s="1"/>
    </row>
    <row r="62" spans="1:5" ht="15.75" x14ac:dyDescent="0.25">
      <c r="A62" s="1" t="s">
        <v>87</v>
      </c>
      <c r="B62" s="1" t="s">
        <v>141</v>
      </c>
      <c r="C62" s="5">
        <v>35</v>
      </c>
      <c r="D62" s="2">
        <v>16</v>
      </c>
      <c r="E62" s="1"/>
    </row>
    <row r="63" spans="1:5" ht="15.75" x14ac:dyDescent="0.25">
      <c r="A63" s="1" t="s">
        <v>87</v>
      </c>
      <c r="B63" s="1" t="s">
        <v>141</v>
      </c>
      <c r="C63" s="5">
        <v>36</v>
      </c>
      <c r="D63" s="2">
        <v>16</v>
      </c>
      <c r="E63" s="1"/>
    </row>
    <row r="64" spans="1:5" ht="15.75" x14ac:dyDescent="0.25">
      <c r="A64" s="1" t="s">
        <v>87</v>
      </c>
      <c r="B64" s="1" t="s">
        <v>141</v>
      </c>
      <c r="C64" s="5">
        <v>38</v>
      </c>
      <c r="D64" s="2">
        <v>16</v>
      </c>
      <c r="E64" s="1"/>
    </row>
    <row r="65" spans="1:5" ht="15.75" x14ac:dyDescent="0.25">
      <c r="A65" s="1" t="s">
        <v>87</v>
      </c>
      <c r="B65" s="1" t="s">
        <v>141</v>
      </c>
      <c r="C65" s="5">
        <v>39</v>
      </c>
      <c r="D65" s="2">
        <v>16</v>
      </c>
      <c r="E65" s="1"/>
    </row>
    <row r="66" spans="1:5" ht="15.75" x14ac:dyDescent="0.25">
      <c r="A66" s="1" t="s">
        <v>91</v>
      </c>
      <c r="B66" s="1" t="s">
        <v>141</v>
      </c>
      <c r="C66" s="5">
        <v>35</v>
      </c>
      <c r="D66" s="2">
        <v>3</v>
      </c>
      <c r="E66" s="1"/>
    </row>
    <row r="67" spans="1:5" ht="15.75" x14ac:dyDescent="0.25">
      <c r="A67" s="1" t="s">
        <v>91</v>
      </c>
      <c r="B67" s="1" t="s">
        <v>141</v>
      </c>
      <c r="C67" s="5">
        <v>38</v>
      </c>
      <c r="D67" s="2">
        <v>3</v>
      </c>
      <c r="E67" s="1"/>
    </row>
    <row r="68" spans="1:5" ht="15.75" x14ac:dyDescent="0.25">
      <c r="A68" s="1" t="s">
        <v>95</v>
      </c>
      <c r="B68" s="1" t="s">
        <v>144</v>
      </c>
      <c r="C68" s="5" t="s">
        <v>171</v>
      </c>
      <c r="D68" s="2">
        <v>18</v>
      </c>
      <c r="E68" s="1"/>
    </row>
    <row r="69" spans="1:5" ht="15.75" x14ac:dyDescent="0.25">
      <c r="A69" s="1" t="s">
        <v>95</v>
      </c>
      <c r="B69" s="1" t="s">
        <v>144</v>
      </c>
      <c r="C69" s="5">
        <v>42</v>
      </c>
      <c r="D69" s="2">
        <v>18</v>
      </c>
      <c r="E69" s="1"/>
    </row>
    <row r="70" spans="1:5" ht="15.75" x14ac:dyDescent="0.25">
      <c r="A70" s="1" t="s">
        <v>95</v>
      </c>
      <c r="B70" s="1" t="s">
        <v>144</v>
      </c>
      <c r="C70" s="5" t="s">
        <v>172</v>
      </c>
      <c r="D70" s="2">
        <v>18</v>
      </c>
      <c r="E70" s="1"/>
    </row>
    <row r="71" spans="1:5" ht="15.75" x14ac:dyDescent="0.25">
      <c r="A71" s="1" t="s">
        <v>95</v>
      </c>
      <c r="B71" s="1" t="s">
        <v>144</v>
      </c>
      <c r="C71" s="5">
        <v>43</v>
      </c>
      <c r="D71" s="2">
        <v>18</v>
      </c>
      <c r="E71" s="1"/>
    </row>
    <row r="72" spans="1:5" ht="15.75" x14ac:dyDescent="0.25">
      <c r="A72" s="1" t="s">
        <v>160</v>
      </c>
      <c r="B72" s="1" t="s">
        <v>144</v>
      </c>
      <c r="C72" s="5">
        <v>38</v>
      </c>
      <c r="D72" s="2">
        <v>50</v>
      </c>
      <c r="E72" s="1"/>
    </row>
    <row r="73" spans="1:5" ht="15.75" x14ac:dyDescent="0.25">
      <c r="A73" s="1" t="s">
        <v>160</v>
      </c>
      <c r="B73" s="1" t="s">
        <v>144</v>
      </c>
      <c r="C73" s="5" t="s">
        <v>168</v>
      </c>
      <c r="D73" s="2">
        <v>50</v>
      </c>
      <c r="E73" s="1"/>
    </row>
    <row r="74" spans="1:5" ht="15.75" x14ac:dyDescent="0.25">
      <c r="A74" s="1" t="s">
        <v>160</v>
      </c>
      <c r="B74" s="1" t="s">
        <v>144</v>
      </c>
      <c r="C74" s="5">
        <v>39</v>
      </c>
      <c r="D74" s="2">
        <v>50</v>
      </c>
      <c r="E74" s="1"/>
    </row>
    <row r="75" spans="1:5" ht="15.75" x14ac:dyDescent="0.25">
      <c r="A75" s="1" t="s">
        <v>160</v>
      </c>
      <c r="B75" s="1" t="s">
        <v>144</v>
      </c>
      <c r="C75" s="5" t="s">
        <v>169</v>
      </c>
      <c r="D75" s="2">
        <v>50</v>
      </c>
      <c r="E75" s="1"/>
    </row>
    <row r="76" spans="1:5" ht="15.75" x14ac:dyDescent="0.25">
      <c r="A76" s="1" t="s">
        <v>160</v>
      </c>
      <c r="B76" s="1" t="s">
        <v>144</v>
      </c>
      <c r="C76" s="5">
        <v>40</v>
      </c>
      <c r="D76" s="2">
        <v>50</v>
      </c>
      <c r="E76" s="1"/>
    </row>
    <row r="77" spans="1:5" ht="15.75" x14ac:dyDescent="0.25">
      <c r="A77" s="1" t="s">
        <v>160</v>
      </c>
      <c r="B77" s="1" t="s">
        <v>144</v>
      </c>
      <c r="C77" s="5">
        <v>41</v>
      </c>
      <c r="D77" s="2">
        <v>50</v>
      </c>
      <c r="E77" s="1"/>
    </row>
    <row r="78" spans="1:5" ht="15.75" x14ac:dyDescent="0.25">
      <c r="A78" s="1" t="s">
        <v>103</v>
      </c>
      <c r="B78" s="1" t="s">
        <v>131</v>
      </c>
      <c r="C78" s="5">
        <v>41</v>
      </c>
      <c r="D78" s="2">
        <v>3</v>
      </c>
      <c r="E78" s="1"/>
    </row>
    <row r="79" spans="1:5" ht="15.75" x14ac:dyDescent="0.25">
      <c r="A79" s="1" t="s">
        <v>103</v>
      </c>
      <c r="B79" s="1" t="s">
        <v>131</v>
      </c>
      <c r="C79" s="5">
        <v>42</v>
      </c>
      <c r="D79" s="2">
        <v>3</v>
      </c>
      <c r="E79" s="1"/>
    </row>
    <row r="80" spans="1:5" ht="15.75" x14ac:dyDescent="0.25">
      <c r="A80" s="1" t="s">
        <v>103</v>
      </c>
      <c r="B80" s="1" t="s">
        <v>131</v>
      </c>
      <c r="C80" s="5">
        <v>44</v>
      </c>
      <c r="D80" s="2">
        <v>3</v>
      </c>
      <c r="E80" s="1"/>
    </row>
    <row r="81" spans="1:5" ht="15.75" x14ac:dyDescent="0.25">
      <c r="A81" s="1" t="s">
        <v>162</v>
      </c>
      <c r="B81" s="1" t="s">
        <v>139</v>
      </c>
      <c r="C81" s="5">
        <v>40</v>
      </c>
      <c r="D81" s="2">
        <v>23</v>
      </c>
      <c r="E81" s="1"/>
    </row>
    <row r="82" spans="1:5" ht="15.75" x14ac:dyDescent="0.25">
      <c r="A82" s="1" t="s">
        <v>162</v>
      </c>
      <c r="B82" s="1" t="s">
        <v>139</v>
      </c>
      <c r="C82" s="5">
        <v>41</v>
      </c>
      <c r="D82" s="2">
        <v>23</v>
      </c>
      <c r="E82" s="1"/>
    </row>
    <row r="83" spans="1:5" ht="15.75" x14ac:dyDescent="0.25">
      <c r="A83" s="1" t="s">
        <v>162</v>
      </c>
      <c r="B83" s="1" t="s">
        <v>139</v>
      </c>
      <c r="C83" s="5">
        <v>43</v>
      </c>
      <c r="D83" s="2">
        <v>23</v>
      </c>
      <c r="E83" s="1"/>
    </row>
    <row r="84" spans="1:5" ht="15.75" x14ac:dyDescent="0.25">
      <c r="A84" s="1" t="s">
        <v>111</v>
      </c>
      <c r="B84" s="1" t="s">
        <v>145</v>
      </c>
      <c r="C84" s="5">
        <v>42</v>
      </c>
      <c r="D84" s="2">
        <v>15</v>
      </c>
      <c r="E84" s="1"/>
    </row>
    <row r="85" spans="1:5" ht="15.75" x14ac:dyDescent="0.25">
      <c r="A85" s="1" t="s">
        <v>111</v>
      </c>
      <c r="B85" s="1" t="s">
        <v>145</v>
      </c>
      <c r="C85" s="5">
        <v>43</v>
      </c>
      <c r="D85" s="2">
        <v>15</v>
      </c>
      <c r="E85" s="1"/>
    </row>
    <row r="86" spans="1:5" ht="15.75" x14ac:dyDescent="0.25">
      <c r="A86" s="1" t="s">
        <v>111</v>
      </c>
      <c r="B86" s="1" t="s">
        <v>145</v>
      </c>
      <c r="C86" s="5">
        <v>44</v>
      </c>
      <c r="D86" s="2">
        <v>15</v>
      </c>
      <c r="E86" s="1"/>
    </row>
    <row r="87" spans="1:5" ht="15.75" x14ac:dyDescent="0.25">
      <c r="A87" s="1" t="s">
        <v>115</v>
      </c>
      <c r="B87" s="1" t="s">
        <v>145</v>
      </c>
      <c r="C87" s="5">
        <v>44</v>
      </c>
      <c r="D87" s="2">
        <v>3</v>
      </c>
      <c r="E87" s="1"/>
    </row>
    <row r="88" spans="1:5" ht="15.75" x14ac:dyDescent="0.25">
      <c r="A88" s="1" t="s">
        <v>119</v>
      </c>
      <c r="B88" s="1" t="s">
        <v>139</v>
      </c>
      <c r="C88" s="5">
        <v>41</v>
      </c>
      <c r="D88" s="2">
        <v>1</v>
      </c>
      <c r="E88" s="1"/>
    </row>
    <row r="89" spans="1:5" ht="15.75" x14ac:dyDescent="0.25">
      <c r="A89" s="1" t="s">
        <v>119</v>
      </c>
      <c r="B89" s="1" t="s">
        <v>139</v>
      </c>
      <c r="C89" s="5">
        <v>42</v>
      </c>
      <c r="D89" s="2">
        <v>1</v>
      </c>
      <c r="E89" s="1"/>
    </row>
    <row r="90" spans="1:5" ht="15.75" x14ac:dyDescent="0.25">
      <c r="A90" s="1" t="s">
        <v>123</v>
      </c>
      <c r="B90" s="1" t="s">
        <v>142</v>
      </c>
      <c r="C90" s="5">
        <v>42</v>
      </c>
      <c r="D90" s="2">
        <v>20</v>
      </c>
      <c r="E90" s="1"/>
    </row>
    <row r="91" spans="1:5" ht="15.75" x14ac:dyDescent="0.25">
      <c r="A91" s="1" t="s">
        <v>123</v>
      </c>
      <c r="B91" s="1" t="s">
        <v>142</v>
      </c>
      <c r="C91" s="5">
        <v>43</v>
      </c>
      <c r="D91" s="2">
        <v>20</v>
      </c>
      <c r="E91" s="1"/>
    </row>
    <row r="92" spans="1:5" ht="15.75" x14ac:dyDescent="0.25">
      <c r="A92" s="1" t="s">
        <v>127</v>
      </c>
      <c r="B92" s="1" t="s">
        <v>139</v>
      </c>
      <c r="C92" s="5">
        <v>41</v>
      </c>
      <c r="D92" s="2">
        <v>30</v>
      </c>
      <c r="E92" s="1"/>
    </row>
    <row r="93" spans="1:5" ht="15.75" x14ac:dyDescent="0.25">
      <c r="A93" s="1" t="s">
        <v>127</v>
      </c>
      <c r="B93" s="1" t="s">
        <v>139</v>
      </c>
      <c r="C93" s="5">
        <v>42</v>
      </c>
      <c r="D93" s="2">
        <v>30</v>
      </c>
      <c r="E93" s="1"/>
    </row>
    <row r="96" spans="1:5" ht="15.75" x14ac:dyDescent="0.25">
      <c r="A96" s="1"/>
      <c r="C96" s="1"/>
    </row>
    <row r="97" spans="1:3" ht="15.75" x14ac:dyDescent="0.25">
      <c r="A97" s="1"/>
      <c r="C97" s="1"/>
    </row>
    <row r="98" spans="1:3" ht="15.75" x14ac:dyDescent="0.25">
      <c r="A98" s="1"/>
      <c r="C98" s="1"/>
    </row>
    <row r="99" spans="1:3" ht="15.75" x14ac:dyDescent="0.25">
      <c r="A99" s="1"/>
      <c r="C99" s="1"/>
    </row>
    <row r="100" spans="1:3" ht="15.75" x14ac:dyDescent="0.25">
      <c r="A100" s="1"/>
      <c r="C100" s="1"/>
    </row>
    <row r="101" spans="1:3" ht="15.75" x14ac:dyDescent="0.25">
      <c r="A101" s="1"/>
      <c r="C101" s="1"/>
    </row>
    <row r="102" spans="1:3" ht="15.75" x14ac:dyDescent="0.25">
      <c r="A102" s="1"/>
      <c r="C102" s="1"/>
    </row>
    <row r="103" spans="1:3" ht="15.75" x14ac:dyDescent="0.25">
      <c r="A103" s="1"/>
      <c r="C103" s="1"/>
    </row>
    <row r="104" spans="1:3" ht="15.75" x14ac:dyDescent="0.25">
      <c r="A104" s="1"/>
      <c r="C104" s="1"/>
    </row>
    <row r="105" spans="1:3" ht="15.75" x14ac:dyDescent="0.25">
      <c r="A105" s="1"/>
      <c r="C105" s="1"/>
    </row>
    <row r="106" spans="1:3" ht="15.75" x14ac:dyDescent="0.25">
      <c r="A106" s="1"/>
      <c r="C106" s="1"/>
    </row>
    <row r="107" spans="1:3" ht="15.75" x14ac:dyDescent="0.25">
      <c r="A107" s="1"/>
      <c r="C107" s="1"/>
    </row>
    <row r="108" spans="1:3" ht="15.75" x14ac:dyDescent="0.25">
      <c r="A108" s="1"/>
      <c r="C108" s="1"/>
    </row>
    <row r="109" spans="1:3" ht="15.75" x14ac:dyDescent="0.25">
      <c r="A109" s="1"/>
    </row>
    <row r="110" spans="1:3" ht="15.75" x14ac:dyDescent="0.25">
      <c r="A110" s="1"/>
    </row>
    <row r="111" spans="1:3" ht="15.75" x14ac:dyDescent="0.25">
      <c r="A111" s="1"/>
    </row>
    <row r="112" spans="1:3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ht="15.75" x14ac:dyDescent="0.25">
      <c r="A164" s="1"/>
    </row>
    <row r="165" spans="1:1" ht="15.75" x14ac:dyDescent="0.25">
      <c r="A165" s="1"/>
    </row>
    <row r="166" spans="1:1" ht="15.75" x14ac:dyDescent="0.25">
      <c r="A166" s="1"/>
    </row>
    <row r="167" spans="1:1" ht="15.75" x14ac:dyDescent="0.25">
      <c r="A167" s="1"/>
    </row>
    <row r="168" spans="1:1" ht="15.75" x14ac:dyDescent="0.25">
      <c r="A168" s="1"/>
    </row>
    <row r="169" spans="1:1" ht="15.75" x14ac:dyDescent="0.25">
      <c r="A169" s="1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activeCell="C25" sqref="C25"/>
    </sheetView>
  </sheetViews>
  <sheetFormatPr defaultRowHeight="15" x14ac:dyDescent="0.25"/>
  <cols>
    <col min="1" max="1" width="35.42578125" customWidth="1"/>
    <col min="2" max="2" width="28" customWidth="1"/>
    <col min="3" max="3" width="22.5703125" customWidth="1"/>
    <col min="4" max="4" width="21.85546875" customWidth="1"/>
    <col min="5" max="5" width="31.5703125" customWidth="1"/>
  </cols>
  <sheetData>
    <row r="1" spans="1:5" ht="15.75" x14ac:dyDescent="0.25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</row>
    <row r="2" spans="1:5" ht="15.75" x14ac:dyDescent="0.25">
      <c r="A2" s="1" t="s">
        <v>179</v>
      </c>
      <c r="B2" s="1" t="s">
        <v>180</v>
      </c>
      <c r="C2" s="1" t="s">
        <v>181</v>
      </c>
      <c r="D2" s="1" t="s">
        <v>182</v>
      </c>
      <c r="E2" s="1">
        <v>1</v>
      </c>
    </row>
    <row r="3" spans="1:5" ht="15.75" x14ac:dyDescent="0.25">
      <c r="A3" s="1" t="s">
        <v>184</v>
      </c>
      <c r="B3" s="1" t="s">
        <v>185</v>
      </c>
      <c r="C3" s="1" t="s">
        <v>186</v>
      </c>
      <c r="D3" s="1" t="s">
        <v>187</v>
      </c>
      <c r="E3" s="1">
        <v>2</v>
      </c>
    </row>
    <row r="4" spans="1:5" ht="15.75" x14ac:dyDescent="0.25">
      <c r="A4" s="1" t="s">
        <v>189</v>
      </c>
      <c r="B4" s="1" t="s">
        <v>190</v>
      </c>
      <c r="C4" s="1" t="s">
        <v>191</v>
      </c>
      <c r="D4" s="1" t="s">
        <v>192</v>
      </c>
      <c r="E4" s="1">
        <v>3</v>
      </c>
    </row>
    <row r="5" spans="1:5" ht="15.75" x14ac:dyDescent="0.25">
      <c r="A5" s="1" t="s">
        <v>194</v>
      </c>
      <c r="B5" s="1" t="s">
        <v>195</v>
      </c>
      <c r="C5" s="1" t="s">
        <v>196</v>
      </c>
      <c r="D5" s="1" t="s">
        <v>197</v>
      </c>
      <c r="E5" s="1">
        <v>2</v>
      </c>
    </row>
    <row r="6" spans="1:5" ht="15.75" x14ac:dyDescent="0.25">
      <c r="A6" s="1" t="s">
        <v>198</v>
      </c>
      <c r="B6" s="1" t="s">
        <v>199</v>
      </c>
      <c r="C6" s="1" t="s">
        <v>200</v>
      </c>
      <c r="D6" s="1" t="s">
        <v>201</v>
      </c>
      <c r="E6" s="1">
        <v>3</v>
      </c>
    </row>
    <row r="7" spans="1:5" ht="15.75" x14ac:dyDescent="0.25">
      <c r="A7" s="1" t="s">
        <v>202</v>
      </c>
      <c r="B7" s="1" t="s">
        <v>203</v>
      </c>
      <c r="C7" s="1" t="s">
        <v>204</v>
      </c>
      <c r="D7" s="1" t="s">
        <v>205</v>
      </c>
      <c r="E7" s="1">
        <v>1</v>
      </c>
    </row>
    <row r="8" spans="1:5" ht="15.75" x14ac:dyDescent="0.25">
      <c r="A8" s="1" t="s">
        <v>206</v>
      </c>
      <c r="B8" s="1" t="s">
        <v>207</v>
      </c>
      <c r="C8" s="1" t="s">
        <v>208</v>
      </c>
      <c r="D8" s="1" t="s">
        <v>209</v>
      </c>
      <c r="E8" s="1">
        <v>3</v>
      </c>
    </row>
    <row r="9" spans="1:5" ht="15.75" x14ac:dyDescent="0.25">
      <c r="A9" s="1" t="s">
        <v>210</v>
      </c>
      <c r="B9" s="1" t="s">
        <v>211</v>
      </c>
      <c r="C9" s="1" t="s">
        <v>212</v>
      </c>
      <c r="D9" s="1" t="s">
        <v>213</v>
      </c>
      <c r="E9" s="1">
        <v>2</v>
      </c>
    </row>
    <row r="10" spans="1:5" ht="15.75" x14ac:dyDescent="0.25">
      <c r="A10" s="1" t="s">
        <v>214</v>
      </c>
      <c r="B10" s="1" t="s">
        <v>215</v>
      </c>
      <c r="C10" s="1" t="s">
        <v>216</v>
      </c>
      <c r="D10" s="1" t="s">
        <v>217</v>
      </c>
      <c r="E10" s="1">
        <v>3</v>
      </c>
    </row>
    <row r="11" spans="1:5" ht="15.75" x14ac:dyDescent="0.25">
      <c r="A11" s="1" t="s">
        <v>218</v>
      </c>
      <c r="B11" s="1" t="s">
        <v>219</v>
      </c>
      <c r="C11" s="1" t="s">
        <v>220</v>
      </c>
      <c r="D11" s="1" t="s">
        <v>221</v>
      </c>
      <c r="E11" s="1">
        <v>2</v>
      </c>
    </row>
    <row r="12" spans="1:5" ht="15.75" x14ac:dyDescent="0.25">
      <c r="A12" s="1" t="s">
        <v>222</v>
      </c>
      <c r="B12" s="1" t="s">
        <v>223</v>
      </c>
      <c r="C12" s="1" t="s">
        <v>224</v>
      </c>
      <c r="D12" s="1" t="s">
        <v>225</v>
      </c>
      <c r="E12" s="1">
        <v>1</v>
      </c>
    </row>
    <row r="13" spans="1:5" ht="15.75" x14ac:dyDescent="0.25">
      <c r="A13" s="1" t="s">
        <v>226</v>
      </c>
      <c r="B13" s="1" t="s">
        <v>227</v>
      </c>
      <c r="C13" s="1" t="s">
        <v>228</v>
      </c>
      <c r="D13" s="1" t="s">
        <v>229</v>
      </c>
      <c r="E13" s="1">
        <v>3</v>
      </c>
    </row>
    <row r="14" spans="1:5" ht="15.75" x14ac:dyDescent="0.25">
      <c r="A14" s="1" t="s">
        <v>230</v>
      </c>
      <c r="B14" s="1" t="s">
        <v>231</v>
      </c>
      <c r="C14" s="1" t="s">
        <v>232</v>
      </c>
      <c r="D14" s="1" t="s">
        <v>233</v>
      </c>
      <c r="E14" s="1">
        <v>2</v>
      </c>
    </row>
    <row r="15" spans="1:5" ht="15.75" x14ac:dyDescent="0.25">
      <c r="A15" s="1" t="s">
        <v>234</v>
      </c>
      <c r="B15" s="1" t="s">
        <v>235</v>
      </c>
      <c r="C15" s="1" t="s">
        <v>236</v>
      </c>
      <c r="D15" s="1" t="s">
        <v>237</v>
      </c>
      <c r="E15" s="1">
        <v>3</v>
      </c>
    </row>
    <row r="16" spans="1:5" ht="15.75" x14ac:dyDescent="0.25">
      <c r="A16" s="1" t="s">
        <v>238</v>
      </c>
      <c r="B16" s="1" t="s">
        <v>239</v>
      </c>
      <c r="C16" s="1" t="s">
        <v>240</v>
      </c>
      <c r="D16" s="1" t="s">
        <v>241</v>
      </c>
      <c r="E16" s="1">
        <v>3</v>
      </c>
    </row>
    <row r="17" spans="1:5" ht="15.75" x14ac:dyDescent="0.25">
      <c r="A17" s="1" t="s">
        <v>242</v>
      </c>
      <c r="B17" s="1" t="s">
        <v>243</v>
      </c>
      <c r="C17" s="1" t="s">
        <v>244</v>
      </c>
      <c r="D17" s="1" t="s">
        <v>245</v>
      </c>
      <c r="E17" s="1">
        <v>2</v>
      </c>
    </row>
    <row r="18" spans="1:5" ht="15.75" x14ac:dyDescent="0.25">
      <c r="A18" s="1" t="s">
        <v>246</v>
      </c>
      <c r="B18" s="1" t="s">
        <v>247</v>
      </c>
      <c r="C18" s="1" t="s">
        <v>248</v>
      </c>
      <c r="D18" s="1" t="s">
        <v>249</v>
      </c>
      <c r="E18" s="1">
        <v>3</v>
      </c>
    </row>
    <row r="19" spans="1:5" ht="15.75" x14ac:dyDescent="0.25">
      <c r="A19" s="1" t="s">
        <v>250</v>
      </c>
      <c r="B19" s="1" t="s">
        <v>251</v>
      </c>
      <c r="C19" s="1" t="s">
        <v>252</v>
      </c>
      <c r="D19" s="1" t="s">
        <v>253</v>
      </c>
      <c r="E19" s="1">
        <v>1</v>
      </c>
    </row>
    <row r="20" spans="1:5" ht="15.75" x14ac:dyDescent="0.25">
      <c r="A20" s="1" t="s">
        <v>254</v>
      </c>
      <c r="B20" s="1" t="s">
        <v>255</v>
      </c>
      <c r="C20" s="1" t="s">
        <v>256</v>
      </c>
      <c r="D20" s="1" t="s">
        <v>257</v>
      </c>
      <c r="E20" s="1">
        <v>2</v>
      </c>
    </row>
    <row r="21" spans="1:5" ht="15.75" x14ac:dyDescent="0.25">
      <c r="A21" s="1" t="s">
        <v>258</v>
      </c>
      <c r="B21" s="1" t="s">
        <v>259</v>
      </c>
      <c r="C21" s="1" t="s">
        <v>260</v>
      </c>
      <c r="D21" s="1" t="s">
        <v>261</v>
      </c>
      <c r="E21" s="1">
        <v>3</v>
      </c>
    </row>
    <row r="25" spans="1:5" x14ac:dyDescent="0.25">
      <c r="B25" t="s">
        <v>265</v>
      </c>
      <c r="C25" t="s">
        <v>266</v>
      </c>
    </row>
    <row r="26" spans="1:5" ht="15.75" x14ac:dyDescent="0.25">
      <c r="A26" s="1"/>
      <c r="B26">
        <v>1</v>
      </c>
      <c r="C26" s="1" t="s">
        <v>183</v>
      </c>
    </row>
    <row r="27" spans="1:5" ht="15.75" x14ac:dyDescent="0.25">
      <c r="A27" s="1"/>
      <c r="B27">
        <v>2</v>
      </c>
      <c r="C27" s="1" t="s">
        <v>188</v>
      </c>
    </row>
    <row r="28" spans="1:5" ht="15.75" x14ac:dyDescent="0.25">
      <c r="A28" s="1"/>
      <c r="B28">
        <v>3</v>
      </c>
      <c r="C28" s="1" t="s">
        <v>193</v>
      </c>
    </row>
    <row r="29" spans="1:5" ht="15.75" x14ac:dyDescent="0.25">
      <c r="A29" s="1"/>
    </row>
    <row r="30" spans="1:5" ht="15.75" x14ac:dyDescent="0.25">
      <c r="A30" s="1"/>
    </row>
    <row r="31" spans="1:5" ht="15.75" x14ac:dyDescent="0.25">
      <c r="A31" s="1"/>
    </row>
    <row r="32" spans="1:5" ht="15.75" x14ac:dyDescent="0.25">
      <c r="A32" s="1"/>
    </row>
    <row r="33" spans="1:1" ht="15.75" x14ac:dyDescent="0.25">
      <c r="A33" s="1"/>
    </row>
    <row r="34" spans="1:1" ht="15.75" x14ac:dyDescent="0.25">
      <c r="A34" s="1"/>
    </row>
    <row r="35" spans="1:1" ht="15.75" x14ac:dyDescent="0.25">
      <c r="A35" s="1"/>
    </row>
    <row r="36" spans="1:1" ht="15.75" x14ac:dyDescent="0.25">
      <c r="A36" s="1"/>
    </row>
    <row r="37" spans="1:1" ht="15.75" x14ac:dyDescent="0.25">
      <c r="A37" s="1"/>
    </row>
    <row r="38" spans="1:1" ht="15.75" x14ac:dyDescent="0.25">
      <c r="A38" s="1"/>
    </row>
    <row r="39" spans="1:1" ht="15.75" x14ac:dyDescent="0.25">
      <c r="A39" s="1"/>
    </row>
    <row r="40" spans="1:1" ht="15.75" x14ac:dyDescent="0.25">
      <c r="A40" s="1"/>
    </row>
    <row r="41" spans="1:1" ht="15.75" x14ac:dyDescent="0.25">
      <c r="A41" s="1"/>
    </row>
    <row r="42" spans="1:1" ht="15.75" x14ac:dyDescent="0.25">
      <c r="A42" s="1"/>
    </row>
    <row r="43" spans="1:1" ht="15.75" x14ac:dyDescent="0.25">
      <c r="A43" s="1"/>
    </row>
    <row r="44" spans="1:1" ht="15.75" x14ac:dyDescent="0.25">
      <c r="A44" s="1"/>
    </row>
    <row r="45" spans="1:1" ht="15.75" x14ac:dyDescent="0.25">
      <c r="A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product</vt:lpstr>
      <vt:lpstr>orders</vt:lpstr>
      <vt:lpstr>sizes</vt:lpstr>
      <vt:lpstr>stock_items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2026-09-15T17:01:58Z</dcterms:modified>
</cp:coreProperties>
</file>